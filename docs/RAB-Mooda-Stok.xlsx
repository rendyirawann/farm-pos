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. Langganan (Server Mooda)" sheetId="1" r:id="rId4"/>
    <sheet name="2. Jual Putu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<sst xmlns="http://schemas.openxmlformats.org/spreadsheetml/2006/main" uniqueCount="135">
  <si>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RENCANA ANGGARAN BIAYA — SKEMA LANGGANAN</t>
  </si>
  <si>
    <t>Mooda Stok — Aplikasi Inventori &amp; Perdagangan Ternak / Perkebunan</t>
  </si>
  <si>
    <t>Aplikasi berjalan di server Mooda. Klien MEMAKAI aplikasi, bukan memilikinya. Alamat memakai subdomain Mooda (mis. ayamjaya.mooda.id); domain sendiri tidak termasuk skema ini. Hosting, pencadangan, pembaruan, dan dukungan sudah menyatu di dalam biaya langganan — klien tidak mengurus server sama sekali.</t>
  </si>
  <si>
    <t>Disusun 04/08/2026  ·  Berlaku 30 hari  ·  Belum termasuk PPN  ·  Sel kuning = asumsi yang bisa diubah</t>
  </si>
  <si>
    <t>A. BIAYA SEKALI BAYAR — IMPLEMENTASI</t>
  </si>
  <si>
    <t>Uraian</t>
  </si>
  <si>
    <t>Satuan</t>
  </si>
  <si>
    <t>Vol</t>
  </si>
  <si>
    <t>Harga Satuan</t>
  </si>
  <si>
    <t>Jumlah</t>
  </si>
  <si>
    <t>Catatan</t>
  </si>
  <si>
    <t>Penyiapan tenant, subdomain &amp; sertifikat HTTPS</t>
  </si>
  <si>
    <t>paket</t>
  </si>
  <si>
    <t>Pembuatan ruang kerja klien di server Mooda, basis data terpisah, SSL otomatis.</t>
  </si>
  <si>
    <t>Pengaturan data induk awal (supplier, agen, item, satuan)</t>
  </si>
  <si>
    <t>Diinput bersama klien agar aplikasi langsung sesuai kebiasaan usaha mereka.</t>
  </si>
  <si>
    <t>SUBTOTAL A — sekali bayar</t>
  </si>
  <si>
    <t>B. PAKET LANGGANAN 1 TAHUN</t>
  </si>
  <si>
    <t>Pemakaian aplikasi — seluruh modul</t>
  </si>
  <si>
    <t>bulan</t>
  </si>
  <si>
    <t>Barang masuk/keluar FIFO, deposit supplier, realisasi, piutang agen, produksi telur, penyesuaian stok, buka/tutup gudang, laporan &amp; HPP per supplier.</t>
  </si>
  <si>
    <t>Hosting, pencadangan harian &amp; pemantauan</t>
  </si>
  <si>
    <t>Server, basis data terpisah, cadangan otomatis, pemantauan layanan. Tidak ada tagihan hosting terpisah.</t>
  </si>
  <si>
    <t>Pembaruan fitur, perbaikan &amp; dukungan WhatsApp</t>
  </si>
  <si>
    <t>TERMASUK, tanpa biaya tambahan selama berlangganan. Jam kerja Sen–Sab 08.00–17.00.</t>
  </si>
  <si>
    <t>Jumlah sebelum diskon</t>
  </si>
  <si>
    <t>Diskon bayar di muka 1 tahun</t>
  </si>
  <si>
    <t>persen</t>
  </si>
  <si>
    <t>Ganti angka diskon di sel kuning bila perlu.</t>
  </si>
  <si>
    <t>TOTAL LANGGANAN 1 TAHUN</t>
  </si>
  <si>
    <t>Pilih SALAH SATU: paket 1 tahun (tabel B) atau paket 2 tahun (tabel C). Tabel yang tidak dipakai boleh dihapus utuh — kesimpulan di bagian E memuat keduanya secara terpisah.</t>
  </si>
  <si>
    <t>C. PAKET LANGGANAN 2 TAHUN</t>
  </si>
  <si>
    <t>Lingkupnya sama dengan paket 1 tahun.</t>
  </si>
  <si>
    <t>Harga terkunci 2 tahun — tidak ikut naik walau biaya server naik.</t>
  </si>
  <si>
    <t>TERMASUK, tanpa biaya tambahan selama berlangganan.</t>
  </si>
  <si>
    <t>Diskon bayar di muka 2 tahun</t>
  </si>
  <si>
    <t>TOTAL LANGGANAN 2 TAHUN</t>
  </si>
  <si>
    <t>Setara per tahun</t>
  </si>
  <si>
    <t>PENAMBAHAN FITUR / MODUL BARU (di luar lingkup awal)</t>
  </si>
  <si>
    <t>Perkiraan Waktu</t>
  </si>
  <si>
    <t>Kisaran Bawah</t>
  </si>
  <si>
    <t>Kisaran Atas</t>
  </si>
  <si>
    <t>Ringan</t>
  </si>
  <si>
    <t>1–3 hari</t>
  </si>
  <si>
    <t>Laporan baru, tambah kolom/filter, ubah tampilan atau isi nota, penyesuaian hak akses.</t>
  </si>
  <si>
    <t>Sedang</t>
  </si>
  <si>
    <t>1–2 minggu</t>
  </si>
  <si>
    <t>Modul baru yang berdiri sendiri: data induk + transaksi + cetak + laporannya. Mis. pencatatan pakan, absensi kandang, kas kecil.</t>
  </si>
  <si>
    <t>Berat</t>
  </si>
  <si>
    <t>3–6 minggu</t>
  </si>
  <si>
    <t>Kategori usaha baru dengan alur berbeda, integrasi ke sistem pihak lain (akuntansi, marketplace, payment gateway), atau perubahan cara stok dihitung.</t>
  </si>
  <si>
    <t>Perubahan kecil di luar tiga tingkat di atas</t>
  </si>
  <si>
    <t>jam</t>
  </si>
  <si>
    <t>Untuk permintaan sekecil ganti kata pada nota atau tambah satu kolom. Minimal 1 jam.</t>
  </si>
  <si>
    <t>Cara kerjanya: setiap permintaan ditaksir dulu (tingkat kesulitan + perkiraan waktu), disetujui klien, baru dikerjakan. Tidak ada pekerjaan tambahan yang ditagih tanpa persetujuan lebih dulu.</t>
  </si>
  <si>
    <t>E. KESIMPULAN BIAYA — SKEMA LANGGANAN</t>
  </si>
  <si>
    <t>Masa</t>
  </si>
  <si>
    <t>Dibayar di Muka</t>
  </si>
  <si>
    <t>Pilihan 1 — Langganan 1 tahun</t>
  </si>
  <si>
    <t>12 bulan</t>
  </si>
  <si>
    <t>Biaya implementasi + langganan 1 tahun, dibayar di awal.</t>
  </si>
  <si>
    <t>Pilihan 2 — Langganan 2 tahun</t>
  </si>
  <si>
    <t>24 bulan</t>
  </si>
  <si>
    <t>Lebih murah per tahunnya dan harga terkunci 2 tahun.</t>
  </si>
  <si>
    <t>Biaya rutin tahun berikutnya (setelah masa langganan habis)</t>
  </si>
  <si>
    <t>Diperbarui per tahun; tidak ada lagi biaya implementasi.</t>
  </si>
  <si>
    <t>Yang perlu disiapkan klien: perangkat (HP/tablet/laptop) dan koneksi internet. Printer nota thermal opsional. Domain sendiri, VPS sendiri, dan payment gateway tidak termasuk skema ini — bila memang diperlukan, lihat Tab 2 atau tabel penambahan fitur.</t>
  </si>
  <si>
    <t>RENCANA ANGGARAN BIAYA — SKEMA JUAL PUTUS</t>
  </si>
  <si>
    <t>Mooda Stok — aplikasi diserahkan ke klien, dipasang di hosting milik klien</t>
  </si>
  <si>
    <t>Aplikasi dipasang di VPS milik klien dan memakai domain klien. Setelah diserahkan, hosting dan pemeliharaan menjadi tanggung jawab klien — kami hanya membantu dari sisi konfigurasi (tidak ada server fisik yang kami kelola). Harga di bawah disusun untuk usaha yang baru berjalan: seluruh angka sudah ditekan ke tingkat yang masuk akal untuk skala kecil.</t>
  </si>
  <si>
    <t>A. HARGA APLIKASI — PILIH SALAH SATU</t>
  </si>
  <si>
    <t>Opsi 1 — Lisensi pakai (tanpa kode sumber)</t>
  </si>
  <si>
    <t>Aplikasi dipasang &amp; berjalan penuh di VPS klien, satu badan usaha, tanpa batas jumlah pengguna. Kode sumber tetap milik Mooda.</t>
  </si>
  <si>
    <t>Opsi 2 — Lisensi + kode sumber</t>
  </si>
  <si>
    <t>Klien menerima kode sumber dan boleh memodifikasi/memindahkan sendiri. Dipilih bila klien punya (atau akan punya) programer sendiri.</t>
  </si>
  <si>
    <t>Volume disetel 1 pada opsi yang dipilih dan 0 pada yang tidak — bawaannya Opsi 1. Kesimpulan di bagian F tetap menampilkan total kedua opsi, jadi keduanya bisa dibandingkan tanpa mengubah apa pun.</t>
  </si>
  <si>
    <t>SUBTOTAL A — harga aplikasi (opsi terpilih)</t>
  </si>
  <si>
    <t>B. PEMASANGAN AWAL DI HOSTING KLIEN (sekali bayar)</t>
  </si>
  <si>
    <t>Penyiapan VPS &amp; pemasangan aplikasi</t>
  </si>
  <si>
    <t>PostgreSQL, Redis, PHP-FPM, Octane, antrean/worker, cron, Nginx, sertifikat SSL, jadwal cadangan otomatis, pengarahan domain.</t>
  </si>
  <si>
    <t>Sama seperti skema langganan.</t>
  </si>
  <si>
    <t>SUBTOTAL B — pemasangan</t>
  </si>
  <si>
    <t>C. HOSTING — HARGA HOSTINGER (per 4 Agustus 2026)</t>
  </si>
  <si>
    <t>Spesifikasi</t>
  </si>
  <si>
    <t>Promo/Bulan</t>
  </si>
  <si>
    <t>Perpanjangan/Bulan</t>
  </si>
  <si>
    <t>Web Hosting Premium (shared)</t>
  </si>
  <si>
    <t>3 situs · 20 GB</t>
  </si>
  <si>
    <t>TIDAK BISA dipakai aplikasi ini: shared hosting hanya menyediakan MySQL, tanpa PostgreSQL, tanpa Redis, dan tanpa izin menjalankan proses latar. Hanya cocok untuk website profil usaha.</t>
  </si>
  <si>
    <t>VPS KVM 1</t>
  </si>
  <si>
    <t>1 vCPU · 4 GB · 50 GB NVMe</t>
  </si>
  <si>
    <t>Batas minimum. Cukup untuk 1 gudang dengan 2–3 pengguna bersamaan.</t>
  </si>
  <si>
    <t>VPS KVM 2 — DISARANKAN</t>
  </si>
  <si>
    <t>2 vCPU · 8 GB · 100 GB NVMe</t>
  </si>
  <si>
    <t>Pilihan yang dipakai pada perhitungan di bawah. Lega untuk PostgreSQL + Redis + Octane + laporan, dan masih sisa untuk pertumbuhan data beberapa tahun.</t>
  </si>
  <si>
    <t>Biaya hosting per tahun (VPS KVM 2, harga perpanjangan × 12)</t>
  </si>
  <si>
    <t>Dipakai harga perpanjangan, bukan promo — supaya anggaran tahun kedua dan seterusnya tidak kaget.</t>
  </si>
  <si>
    <t>Tagihan VPS dan domain dibayar klien langsung ke Hostinger atas nama klien sendiri, bukan lewat kami. Harga promo hanya berlaku pada kontrak pertama (24 bulan bayar di muka); setelah itu memakai harga perpanjangan. Domain .id sekitar Rp150.000–250.000/tahun, terpisah.</t>
  </si>
  <si>
    <t>D. MAINTENANCE — 2 BULAN PERTAMA GRATIS, LALU 2× SETAHUN</t>
  </si>
  <si>
    <t>Kami hanya menangani sisi konfigurasi hosting — tidak ada server fisik yang dikelola, jadi biayanya ditekan seminimal mungkin. Selama 2 bulan pertama setelah aplikasi diserahkan, seluruh perbaikan dan penyetelan GRATIS. Sesudah itu maintenance dijadwalkan 2 kali setahun.</t>
  </si>
  <si>
    <t>Maintenance berjadwal</t>
  </si>
  <si>
    <t>sesi</t>
  </si>
  <si>
    <t>2 sesi per tahun (mis. bulan ke-6 dan ke-12). Isi setiap sesi dirinci di bawah.</t>
  </si>
  <si>
    <t xml:space="preserve">     • Pencadangan basis data + berkas unggahan, lalu diuji pulihkan</t>
  </si>
  <si>
    <t>Cadangan yang belum pernah diuji pulih sama saja dengan tidak ada cadangan.</t>
  </si>
  <si>
    <t xml:space="preserve">     • Konfigurasi hosting: PHP-FPM, Nginx, antrean/worker, cron, sertifikat SSL, firewall</t>
  </si>
  <si>
    <t>Termasuk memastikan layanan otomatis hidup kembali setelah VPS restart.</t>
  </si>
  <si>
    <t xml:space="preserve">     • Pembaruan modul aplikasi, framework Laravel, dan library (Composer &amp; npm)</t>
  </si>
  <si>
    <t>Naik ke versi perbaikan/keamanan terbaru, lalu diuji agar fungsi lama tidak rusak.</t>
  </si>
  <si>
    <t xml:space="preserve">     • Pemeriksaan kesehatan: log error, ruang disk, kecepatan halaman, ukuran basis data</t>
  </si>
  <si>
    <t>Masalah ditemukan sebelum menghambat pekerjaan.</t>
  </si>
  <si>
    <t xml:space="preserve">     • Laporan singkat hasil pekerjaan</t>
  </si>
  <si>
    <t>Apa yang diperbarui, apa yang perlu diwaspadai berikutnya.</t>
  </si>
  <si>
    <t>BIAYA MAINTENANCE PER TAHUN</t>
  </si>
  <si>
    <t>Panggilan di luar jadwal (aplikasi bermasalah)</t>
  </si>
  <si>
    <t>Hanya bila dibutuhkan, minimal 1 jam. Gratis bila penyebabnya dari sisi kami.</t>
  </si>
  <si>
    <t>F. KESIMPULAN BIAYA — SKEMA JUAL PUTUS</t>
  </si>
  <si>
    <t>Kapan Dibayar</t>
  </si>
  <si>
    <t>Pemasangan awal di hosting klien</t>
  </si>
  <si>
    <t>di awal</t>
  </si>
  <si>
    <t>Penyiapan VPS + pemasangan aplikasi + data induk awal.</t>
  </si>
  <si>
    <t>Hosting VPS KVM 2 — tahun pertama</t>
  </si>
  <si>
    <t>ke Hostinger, atas nama klien</t>
  </si>
  <si>
    <t>Bukan dibayar ke kami. Bisa lebih murah bila mengambil promo kontrak 24 bulan.</t>
  </si>
  <si>
    <t>Maintenance tahun pertama — 1 sesi</t>
  </si>
  <si>
    <t>setelah 2 bulan gratis</t>
  </si>
  <si>
    <t>2 bulan pertama gratis, jadi hanya satu jadwal maintenance yang jatuh di tahun pertama.</t>
  </si>
  <si>
    <t>Subtotal biaya pendukung tahun pertama</t>
  </si>
  <si>
    <t>TOTAL TAHUN PERTAMA — Opsi 1 (lisensi pakai)</t>
  </si>
  <si>
    <t>Aplikasi terpasang &amp; jalan penuh, kode sumber tetap milik Mooda.</t>
  </si>
  <si>
    <t>TOTAL TAHUN PERTAMA — Opsi 2 (+ kode sumber)</t>
  </si>
  <si>
    <t>Termasuk kode sumber; klien bebas memodifikasi sendiri.</t>
  </si>
  <si>
    <t>Biaya rutin tahun berikutnya — hosting + maintenance 2 sesi</t>
  </si>
  <si>
    <t>Tidak ada lagi harga aplikasi maupun pemasangan.</t>
  </si>
  <si>
    <t>Yang menjadi tanggung jawab klien setelah penyerahan: tagihan VPS &amp; domain, kata sandi akses, dan keputusan kapan pembaruan dijalankan. Maintenance boleh tidak diambil — aplikasi tetap jalan — hanya saja pembaruan keamanan dan cadangan tidak lagi ada yang memastikan.</t>
  </si>
</sst>
</file>

<file path=xl/styles.xml><?xml version="1.0" encoding="utf-8"?>
<styleSheet xmlns="http://schemas.openxmlformats.org/spreadsheetml/2006/main">
  <numFmts count="1">
    <numFmt numFmtId="164" formatCode="&quot;Rp&quot;#,##0"/>
  </numFmts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5803D"/>
      <name val="Calibri"/>
    </font>
    <font>
      <b val="0"/>
      <i val="0"/>
      <strike val="0"/>
      <u val="none"/>
      <sz val="11"/>
      <color rgb="FF6B7280"/>
      <name val="Calibri"/>
    </font>
    <font>
      <b val="0"/>
      <i val="1"/>
      <strike val="0"/>
      <u val="none"/>
      <sz val="9"/>
      <color rgb="FF6B728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6B7280"/>
      <name val="Calibri"/>
    </font>
    <font>
      <b val="0"/>
      <i val="0"/>
      <strike val="0"/>
      <u val="none"/>
      <sz val="9.5"/>
      <color rgb="FF000000"/>
      <name val="Calibri"/>
    </font>
    <font>
      <b val="0"/>
      <i val="1"/>
      <strike val="0"/>
      <u val="none"/>
      <sz val="9.5"/>
      <color rgb="FF000000"/>
      <name val="Calibri"/>
    </font>
    <font>
      <b val="1"/>
      <i val="0"/>
      <strike val="0"/>
      <u val="none"/>
      <sz val="16"/>
      <color rgb="FF1D4ED8"/>
      <name val="Calibri"/>
    </font>
    <font>
      <b val="1"/>
      <i val="0"/>
      <strike val="0"/>
      <u val="none"/>
      <sz val="12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  <fill>
      <patternFill patternType="solid">
        <fgColor rgb="FFE5E7EB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92400E"/>
        <bgColor rgb="FF000000"/>
      </patternFill>
    </fill>
    <fill>
      <patternFill patternType="solid">
        <fgColor rgb="FFFEE2E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0"/>
    <xf xfId="0" fontId="5" numFmtId="0" fillId="2" borderId="0" applyFont="1" applyNumberFormat="0" applyFill="1" applyBorder="0" applyAlignment="1">
      <alignment vertical="center" textRotation="0" wrapText="fals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164" fillId="4" borderId="0" applyFont="0" applyNumberFormat="1" applyFill="1" applyBorder="0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vertical="center" textRotation="0" wrapText="true" shrinkToFit="false"/>
    </xf>
    <xf xfId="0" fontId="1" numFmtId="0" fillId="5" borderId="0" applyFont="1" applyNumberFormat="0" applyFill="1" applyBorder="0" applyAlignment="0"/>
    <xf xfId="0" fontId="1" numFmtId="164" fillId="5" borderId="0" applyFont="1" applyNumberFormat="1" applyFill="1" applyBorder="0" applyAlignment="0"/>
    <xf xfId="0" fontId="1" numFmtId="0" fillId="5" borderId="0" applyFont="1" applyNumberFormat="0" applyFill="1" applyBorder="0" applyAlignment="1">
      <alignment horizontal="right" vertical="bottom" textRotation="0" wrapText="false" shrinkToFit="false"/>
    </xf>
    <xf xfId="0" fontId="1" numFmtId="0" fillId="5" borderId="2" applyFont="1" applyNumberFormat="0" applyFill="1" applyBorder="1" applyAlignment="1">
      <alignment horizontal="right" vertical="bottom" textRotation="0" wrapText="false" shrinkToFit="false"/>
    </xf>
    <xf xfId="0" fontId="1" numFmtId="0" fillId="5" borderId="2" applyFont="1" applyNumberFormat="0" applyFill="1" applyBorder="1" applyAlignment="0"/>
    <xf xfId="0" fontId="1" numFmtId="164" fillId="5" borderId="2" applyFont="1" applyNumberFormat="1" applyFill="1" applyBorder="1" applyAlignment="0"/>
    <xf xfId="0" fontId="5" numFmtId="0" fillId="6" borderId="0" applyFont="1" applyNumberFormat="0" applyFill="1" applyBorder="0" applyAlignment="1">
      <alignment vertical="center" textRotation="0" wrapText="false" shrinkToFit="false"/>
    </xf>
    <xf xfId="0" fontId="0" numFmtId="9" fillId="4" borderId="0" applyFont="0" applyNumberFormat="1" applyFill="1" applyBorder="0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right" vertical="bottom" textRotation="0" wrapText="false" shrinkToFit="false"/>
    </xf>
    <xf xfId="0" fontId="1" numFmtId="0" fillId="7" borderId="2" applyFont="1" applyNumberFormat="0" applyFill="1" applyBorder="1" applyAlignment="0"/>
    <xf xfId="0" fontId="1" numFmtId="164" fillId="7" borderId="2" applyFont="1" applyNumberFormat="1" applyFill="1" applyBorder="1" applyAlignment="0"/>
    <xf xfId="0" fontId="0" numFmtId="0" fillId="8" borderId="0" applyFont="0" applyNumberFormat="0" applyFill="1" applyBorder="0" applyAlignment="0"/>
    <xf xfId="0" fontId="8" numFmtId="0" fillId="8" borderId="0" applyFont="1" applyNumberFormat="0" applyFill="1" applyBorder="0" applyAlignment="1">
      <alignment vertical="top" textRotation="0" wrapText="true" shrinkToFit="false"/>
    </xf>
    <xf xfId="0" fontId="9" numFmtId="0" fillId="0" borderId="0" applyFont="1" applyNumberFormat="0" applyFill="0" applyBorder="0" applyAlignment="0"/>
    <xf xfId="0" fontId="9" numFmtId="164" fillId="0" borderId="0" applyFont="1" applyNumberFormat="1" applyFill="0" applyBorder="0" applyAlignment="0"/>
    <xf xfId="0" fontId="9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9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164" fillId="4" borderId="0" applyFont="0" applyNumberFormat="1" applyFill="1" applyBorder="0" applyAlignment="1">
      <alignment vertical="center" textRotation="0" wrapText="true" shrinkToFit="false"/>
    </xf>
    <xf xfId="0" fontId="1" numFmtId="164" fillId="0" borderId="0" applyFont="1" applyNumberFormat="1" applyFill="0" applyBorder="0" applyAlignment="0"/>
    <xf xfId="0" fontId="1" numFmtId="0" fillId="7" borderId="0" applyFont="1" applyNumberFormat="0" applyFill="1" applyBorder="0" applyAlignment="1">
      <alignment vertical="center" textRotation="0" wrapText="true" shrinkToFit="false"/>
    </xf>
    <xf xfId="0" fontId="0" numFmtId="0" fillId="7" borderId="0" applyFont="0" applyNumberFormat="0" applyFill="1" applyBorder="0" applyAlignment="1">
      <alignment horizontal="center" vertical="center" textRotation="0" wrapText="true" shrinkToFit="false"/>
    </xf>
    <xf xfId="0" fontId="0" numFmtId="0" fillId="7" borderId="0" applyFont="0" applyNumberFormat="0" applyFill="1" applyBorder="0" applyAlignment="1">
      <alignment vertical="center" textRotation="0" wrapText="true" shrinkToFit="false"/>
    </xf>
    <xf xfId="0" fontId="0" numFmtId="164" fillId="7" borderId="0" applyFont="0" applyNumberFormat="1" applyFill="1" applyBorder="0" applyAlignment="1">
      <alignment vertical="center" textRotation="0" wrapText="true" shrinkToFit="false"/>
    </xf>
    <xf xfId="0" fontId="7" numFmtId="0" fillId="7" borderId="0" applyFont="1" applyNumberFormat="0" applyFill="1" applyBorder="0" applyAlignment="1">
      <alignment vertical="center" textRotation="0" wrapText="true" shrinkToFit="false"/>
    </xf>
    <xf xfId="0" fontId="1" numFmtId="0" fillId="7" borderId="1" applyFont="1" applyNumberFormat="0" applyFill="1" applyBorder="1" applyAlignment="1">
      <alignment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vertical="center" textRotation="0" wrapText="true" shrinkToFit="false"/>
    </xf>
    <xf xfId="0" fontId="0" numFmtId="164" fillId="7" borderId="1" applyFont="0" applyNumberFormat="1" applyFill="1" applyBorder="1" applyAlignment="1">
      <alignment vertical="center" textRotation="0" wrapText="true" shrinkToFit="false"/>
    </xf>
    <xf xfId="0" fontId="1" numFmtId="164" fillId="7" borderId="1" applyFont="1" applyNumberFormat="1" applyFill="1" applyBorder="1" applyAlignment="1">
      <alignment vertical="center" textRotation="0" wrapText="true" shrinkToFit="false"/>
    </xf>
    <xf xfId="0" fontId="7" numFmtId="0" fillId="7" borderId="1" applyFont="1" applyNumberFormat="0" applyFill="1" applyBorder="1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0" numFmtId="0" fillId="0" borderId="0" applyFont="1" applyNumberFormat="0" applyFill="0" applyBorder="0" applyAlignment="0"/>
    <xf xfId="0" fontId="0" numFmtId="0" fillId="4" borderId="0" applyFont="0" applyNumberFormat="0" applyFill="1" applyBorder="0" applyAlignment="0"/>
    <xf xfId="0" fontId="8" numFmtId="0" fillId="4" borderId="0" applyFont="1" applyNumberFormat="0" applyFill="1" applyBorder="0" applyAlignment="1">
      <alignment vertical="top" textRotation="0" wrapText="true" shrinkToFit="false"/>
    </xf>
    <xf xfId="0" fontId="1" numFmtId="0" fillId="10" borderId="0" applyFont="1" applyNumberFormat="0" applyFill="1" applyBorder="0" applyAlignment="1">
      <alignment vertical="center" textRotation="0" wrapText="true" shrinkToFit="false"/>
    </xf>
    <xf xfId="0" fontId="0" numFmtId="0" fillId="10" borderId="0" applyFont="0" applyNumberFormat="0" applyFill="1" applyBorder="0" applyAlignment="1">
      <alignment horizontal="center" vertical="center" textRotation="0" wrapText="true" shrinkToFit="false"/>
    </xf>
    <xf xfId="0" fontId="0" numFmtId="0" fillId="10" borderId="0" applyFont="0" applyNumberFormat="0" applyFill="1" applyBorder="0" applyAlignment="1">
      <alignment vertical="center" textRotation="0" wrapText="true" shrinkToFit="false"/>
    </xf>
    <xf xfId="0" fontId="0" numFmtId="164" fillId="10" borderId="0" applyFont="0" applyNumberFormat="1" applyFill="1" applyBorder="0" applyAlignment="1">
      <alignment vertical="center" textRotation="0" wrapText="true" shrinkToFit="false"/>
    </xf>
    <xf xfId="0" fontId="7" numFmtId="0" fillId="10" borderId="0" applyFont="1" applyNumberFormat="0" applyFill="1" applyBorder="0" applyAlignment="1">
      <alignment vertical="center" textRotation="0" wrapText="true" shrinkToFit="false"/>
    </xf>
    <xf xfId="0" fontId="7" numFmtId="0" fillId="5" borderId="0" applyFont="1" applyNumberFormat="0" applyFill="1" applyBorder="0" applyAlignment="0"/>
    <xf xfId="0" fontId="1" numFmtId="0" fillId="5" borderId="0" applyFont="1" applyNumberFormat="0" applyFill="1" applyBorder="0" applyAlignment="1">
      <alignment vertical="center" textRotation="0" wrapText="true" shrinkToFit="false"/>
    </xf>
    <xf xfId="0" fontId="0" numFmtId="0" fillId="5" borderId="0" applyFont="0" applyNumberFormat="0" applyFill="1" applyBorder="0" applyAlignment="1">
      <alignment horizontal="center" vertical="center" textRotation="0" wrapText="true" shrinkToFit="false"/>
    </xf>
    <xf xfId="0" fontId="0" numFmtId="0" fillId="5" borderId="0" applyFont="0" applyNumberFormat="0" applyFill="1" applyBorder="0" applyAlignment="1">
      <alignment vertical="center" textRotation="0" wrapText="true" shrinkToFit="false"/>
    </xf>
    <xf xfId="0" fontId="0" numFmtId="164" fillId="5" borderId="0" applyFont="0" applyNumberFormat="1" applyFill="1" applyBorder="0" applyAlignment="1">
      <alignment vertical="center" textRotation="0" wrapText="true" shrinkToFit="false"/>
    </xf>
    <xf xfId="0" fontId="7" numFmtId="0" fillId="5" borderId="0" applyFont="1" applyNumberFormat="0" applyFill="1" applyBorder="0" applyAlignment="1">
      <alignment vertical="center" textRotation="0" wrapText="true" shrinkToFit="false"/>
    </xf>
    <xf xfId="0" fontId="0" numFmtId="0" fillId="7" borderId="0" applyFont="0" applyNumberFormat="0" applyFill="1" applyBorder="0" applyAlignment="0"/>
    <xf xfId="0" fontId="8" numFmtId="0" fillId="7" borderId="0" applyFont="1" applyNumberFormat="0" applyFill="1" applyBorder="0" applyAlignment="1">
      <alignment vertical="top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true" shrinkToFit="false"/>
    </xf>
    <xf xfId="0" fontId="11" numFmtId="164" fillId="7" borderId="2" applyFont="1" applyNumberFormat="1" applyFill="1" applyBorder="1" applyAlignment="0"/>
    <xf xfId="0" fontId="7" numFmtId="0" fillId="7" borderId="2" applyFont="1" applyNumberFormat="0" applyFill="1" applyBorder="1" applyAlignment="1">
      <alignment vertical="center" textRotation="0" wrapText="true" shrinkToFit="false"/>
    </xf>
    <xf xfId="0" fontId="1" numFmtId="0" fillId="8" borderId="2" applyFont="1" applyNumberFormat="0" applyFill="1" applyBorder="1" applyAlignment="1">
      <alignment horizontal="right" vertical="bottom" textRotation="0" wrapText="false" shrinkToFit="false"/>
    </xf>
    <xf xfId="0" fontId="1" numFmtId="0" fillId="8" borderId="2" applyFont="1" applyNumberFormat="0" applyFill="1" applyBorder="1" applyAlignment="0"/>
    <xf xfId="0" fontId="11" numFmtId="164" fillId="8" borderId="2" applyFont="1" applyNumberFormat="1" applyFill="1" applyBorder="1" applyAlignment="0"/>
    <xf xfId="0" fontId="7" numFmtId="0" fillId="8" borderId="2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F47"/>
  <sheetViews>
    <sheetView tabSelected="1" workbookViewId="0" showGridLines="true" showRowColHeaders="1">
      <pane ySplit="5" activePane="bottomLeft" state="frozen" topLeftCell="A6"/>
      <selection pane="bottomLeft" activeCell="A47" sqref="A47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7" customWidth="true" style="0"/>
    <col min="4" max="4" width="16" customWidth="true" style="0"/>
    <col min="5" max="5" width="17" customWidth="true" style="0"/>
    <col min="6" max="6" width="48" customWidth="true" style="0"/>
  </cols>
  <sheetData>
    <row r="1" spans="1:6">
      <c r="A1" s="2" t="s">
        <v>0</v>
      </c>
    </row>
    <row r="2" spans="1:6">
      <c r="A2" s="3" t="s">
        <v>1</v>
      </c>
    </row>
    <row r="3" spans="1:6" customHeight="1" ht="32">
      <c r="A3" s="4" t="s">
        <v>2</v>
      </c>
    </row>
    <row r="4" spans="1:6">
      <c r="A4" s="5" t="s">
        <v>3</v>
      </c>
    </row>
    <row r="6" spans="1:6" customHeight="1" ht="22">
      <c r="A6" s="6" t="s">
        <v>4</v>
      </c>
      <c r="B6" s="6"/>
      <c r="C6" s="6"/>
      <c r="D6" s="6"/>
      <c r="E6" s="6"/>
      <c r="F6" s="6"/>
    </row>
    <row r="7" spans="1:6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8" spans="1:6">
      <c r="A8" s="4" t="s">
        <v>11</v>
      </c>
      <c r="B8" t="s">
        <v>12</v>
      </c>
      <c r="C8" s="9">
        <v>1</v>
      </c>
      <c r="D8" s="10">
        <v>750000</v>
      </c>
      <c r="E8" s="8">
        <f>C8*D8</f>
        <v>750000</v>
      </c>
      <c r="F8" s="12" t="s">
        <v>13</v>
      </c>
    </row>
    <row r="9" spans="1:6">
      <c r="A9" s="4" t="s">
        <v>14</v>
      </c>
      <c r="B9" t="s">
        <v>12</v>
      </c>
      <c r="C9" s="9">
        <v>1</v>
      </c>
      <c r="D9" s="10">
        <v>1000000</v>
      </c>
      <c r="E9" s="8">
        <f>C9*D9</f>
        <v>1000000</v>
      </c>
      <c r="F9" s="12" t="s">
        <v>15</v>
      </c>
    </row>
    <row r="10" spans="1:6">
      <c r="A10" s="16" t="s">
        <v>16</v>
      </c>
      <c r="B10" s="17"/>
      <c r="C10" s="17"/>
      <c r="D10" s="17"/>
      <c r="E10" s="18">
        <f>SUM(E8:E9)</f>
        <v>1750000</v>
      </c>
      <c r="F10" s="17"/>
    </row>
    <row r="12" spans="1:6" customHeight="1" ht="22">
      <c r="A12" s="19" t="s">
        <v>17</v>
      </c>
      <c r="B12" s="19"/>
      <c r="C12" s="19"/>
      <c r="D12" s="19"/>
      <c r="E12" s="19"/>
      <c r="F12" s="19"/>
    </row>
    <row r="13" spans="1:6">
      <c r="A13" s="7" t="s">
        <v>5</v>
      </c>
      <c r="B13" s="7" t="s">
        <v>6</v>
      </c>
      <c r="C13" s="7" t="s">
        <v>7</v>
      </c>
      <c r="D13" s="7" t="s">
        <v>8</v>
      </c>
      <c r="E13" s="7" t="s">
        <v>9</v>
      </c>
      <c r="F13" s="7" t="s">
        <v>10</v>
      </c>
    </row>
    <row r="14" spans="1:6">
      <c r="A14" s="4" t="s">
        <v>18</v>
      </c>
      <c r="B14" t="s">
        <v>19</v>
      </c>
      <c r="C14" s="9">
        <v>12</v>
      </c>
      <c r="D14" s="10">
        <v>350000</v>
      </c>
      <c r="E14" s="8">
        <f>C14*D14</f>
        <v>4200000</v>
      </c>
      <c r="F14" s="12" t="s">
        <v>20</v>
      </c>
    </row>
    <row r="15" spans="1:6">
      <c r="A15" s="4" t="s">
        <v>21</v>
      </c>
      <c r="B15" t="s">
        <v>19</v>
      </c>
      <c r="C15" s="9">
        <v>12</v>
      </c>
      <c r="D15" s="10">
        <v>100000</v>
      </c>
      <c r="E15" s="8">
        <f>C15*D15</f>
        <v>1200000</v>
      </c>
      <c r="F15" s="12" t="s">
        <v>22</v>
      </c>
    </row>
    <row r="16" spans="1:6">
      <c r="A16" s="4" t="s">
        <v>23</v>
      </c>
      <c r="B16" t="s">
        <v>19</v>
      </c>
      <c r="C16" s="9">
        <v>12</v>
      </c>
      <c r="D16" s="10">
        <v>0</v>
      </c>
      <c r="E16" s="8">
        <f>C16*D16</f>
        <v>0</v>
      </c>
      <c r="F16" s="12" t="s">
        <v>24</v>
      </c>
    </row>
    <row r="17" spans="1:6">
      <c r="A17" s="16" t="s">
        <v>25</v>
      </c>
      <c r="B17" s="17"/>
      <c r="C17" s="17"/>
      <c r="D17" s="17"/>
      <c r="E17" s="18">
        <f>SUM(E14:E16)</f>
        <v>5400000</v>
      </c>
      <c r="F17" s="17"/>
    </row>
    <row r="18" spans="1:6">
      <c r="A18" t="s">
        <v>26</v>
      </c>
      <c r="B18" t="s">
        <v>27</v>
      </c>
      <c r="C18" s="20">
        <v>0.1</v>
      </c>
      <c r="E18" s="8">
        <f>-E17*C18</f>
        <v>-540000</v>
      </c>
      <c r="F18" s="11" t="s">
        <v>28</v>
      </c>
    </row>
    <row r="19" spans="1:6">
      <c r="A19" s="21" t="s">
        <v>29</v>
      </c>
      <c r="B19" s="22"/>
      <c r="C19" s="22"/>
      <c r="D19" s="22"/>
      <c r="E19" s="23">
        <f>E17+E18</f>
        <v>4860000</v>
      </c>
      <c r="F19" s="22"/>
    </row>
    <row r="21" spans="1:6" customHeight="1" ht="28">
      <c r="A21" s="25" t="s">
        <v>30</v>
      </c>
      <c r="B21" s="24"/>
      <c r="C21" s="24"/>
      <c r="D21" s="24"/>
      <c r="E21" s="24"/>
      <c r="F21" s="24"/>
    </row>
    <row r="23" spans="1:6" customHeight="1" ht="22">
      <c r="A23" s="19" t="s">
        <v>31</v>
      </c>
      <c r="B23" s="19"/>
      <c r="C23" s="19"/>
      <c r="D23" s="19"/>
      <c r="E23" s="19"/>
      <c r="F23" s="19"/>
    </row>
    <row r="24" spans="1:6">
      <c r="A24" s="7" t="s">
        <v>5</v>
      </c>
      <c r="B24" s="7" t="s">
        <v>6</v>
      </c>
      <c r="C24" s="7" t="s">
        <v>7</v>
      </c>
      <c r="D24" s="7" t="s">
        <v>8</v>
      </c>
      <c r="E24" s="7" t="s">
        <v>9</v>
      </c>
      <c r="F24" s="7" t="s">
        <v>10</v>
      </c>
    </row>
    <row r="25" spans="1:6">
      <c r="A25" s="4" t="s">
        <v>18</v>
      </c>
      <c r="B25" t="s">
        <v>19</v>
      </c>
      <c r="C25" s="9">
        <v>24</v>
      </c>
      <c r="D25" s="10">
        <v>350000</v>
      </c>
      <c r="E25" s="8">
        <f>C25*D25</f>
        <v>8400000</v>
      </c>
      <c r="F25" s="12" t="s">
        <v>32</v>
      </c>
    </row>
    <row r="26" spans="1:6">
      <c r="A26" s="4" t="s">
        <v>21</v>
      </c>
      <c r="B26" t="s">
        <v>19</v>
      </c>
      <c r="C26" s="9">
        <v>24</v>
      </c>
      <c r="D26" s="10">
        <v>100000</v>
      </c>
      <c r="E26" s="8">
        <f>C26*D26</f>
        <v>2400000</v>
      </c>
      <c r="F26" s="12" t="s">
        <v>33</v>
      </c>
    </row>
    <row r="27" spans="1:6">
      <c r="A27" s="4" t="s">
        <v>23</v>
      </c>
      <c r="B27" t="s">
        <v>19</v>
      </c>
      <c r="C27" s="9">
        <v>24</v>
      </c>
      <c r="D27" s="10">
        <v>0</v>
      </c>
      <c r="E27" s="8">
        <f>C27*D27</f>
        <v>0</v>
      </c>
      <c r="F27" s="12" t="s">
        <v>34</v>
      </c>
    </row>
    <row r="28" spans="1:6">
      <c r="A28" s="16" t="s">
        <v>25</v>
      </c>
      <c r="B28" s="17"/>
      <c r="C28" s="17"/>
      <c r="D28" s="17"/>
      <c r="E28" s="18">
        <f>SUM(E25:E27)</f>
        <v>10800000</v>
      </c>
      <c r="F28" s="17"/>
    </row>
    <row r="29" spans="1:6">
      <c r="A29" t="s">
        <v>35</v>
      </c>
      <c r="B29" t="s">
        <v>27</v>
      </c>
      <c r="C29" s="20">
        <v>0.2</v>
      </c>
      <c r="E29" s="8">
        <f>-E28*C29</f>
        <v>-2160000</v>
      </c>
    </row>
    <row r="30" spans="1:6">
      <c r="A30" s="21" t="s">
        <v>36</v>
      </c>
      <c r="B30" s="22"/>
      <c r="C30" s="22"/>
      <c r="D30" s="22"/>
      <c r="E30" s="23">
        <f>E28+E29</f>
        <v>8640000</v>
      </c>
      <c r="F30" s="22"/>
    </row>
    <row r="31" spans="1:6">
      <c r="A31" s="28" t="s">
        <v>37</v>
      </c>
      <c r="B31" s="26"/>
      <c r="C31" s="26"/>
      <c r="D31" s="26"/>
      <c r="E31" s="27">
        <f>E30/2</f>
        <v>4320000</v>
      </c>
      <c r="F31" s="26"/>
    </row>
    <row r="33" spans="1:6" customHeight="1" ht="22">
      <c r="A33" s="29" t="s">
        <v>38</v>
      </c>
      <c r="B33" s="29"/>
      <c r="C33" s="29"/>
      <c r="D33" s="29"/>
      <c r="E33" s="29"/>
      <c r="F33" s="29"/>
    </row>
    <row r="34" spans="1:6">
      <c r="A34" s="7" t="s">
        <v>5</v>
      </c>
      <c r="B34" s="7" t="s">
        <v>39</v>
      </c>
      <c r="C34" s="7"/>
      <c r="D34" s="7" t="s">
        <v>40</v>
      </c>
      <c r="E34" s="7" t="s">
        <v>41</v>
      </c>
      <c r="F34" s="7" t="s">
        <v>10</v>
      </c>
    </row>
    <row r="35" spans="1:6" customHeight="1" ht="34">
      <c r="A35" s="30" t="s">
        <v>42</v>
      </c>
      <c r="B35" s="31" t="s">
        <v>43</v>
      </c>
      <c r="C35" s="4"/>
      <c r="D35" s="32">
        <v>750000</v>
      </c>
      <c r="E35" s="32">
        <v>2000000</v>
      </c>
      <c r="F35" s="12" t="s">
        <v>44</v>
      </c>
    </row>
    <row r="36" spans="1:6" customHeight="1" ht="34">
      <c r="A36" s="30" t="s">
        <v>45</v>
      </c>
      <c r="B36" s="31" t="s">
        <v>46</v>
      </c>
      <c r="C36" s="4"/>
      <c r="D36" s="32">
        <v>3000000</v>
      </c>
      <c r="E36" s="32">
        <v>7500000</v>
      </c>
      <c r="F36" s="12" t="s">
        <v>47</v>
      </c>
    </row>
    <row r="37" spans="1:6" customHeight="1" ht="34">
      <c r="A37" s="30" t="s">
        <v>48</v>
      </c>
      <c r="B37" s="31" t="s">
        <v>49</v>
      </c>
      <c r="C37" s="4"/>
      <c r="D37" s="32">
        <v>9000000</v>
      </c>
      <c r="E37" s="32">
        <v>20000000</v>
      </c>
      <c r="F37" s="12" t="s">
        <v>50</v>
      </c>
    </row>
    <row r="38" spans="1:6">
      <c r="A38" s="4" t="s">
        <v>51</v>
      </c>
      <c r="B38" t="s">
        <v>52</v>
      </c>
      <c r="C38" s="9">
        <v>1</v>
      </c>
      <c r="D38" s="10">
        <v>250000</v>
      </c>
      <c r="E38" s="8">
        <f>C38*D38</f>
        <v>250000</v>
      </c>
      <c r="F38" s="12" t="s">
        <v>53</v>
      </c>
    </row>
    <row r="39" spans="1:6" customHeight="1" ht="28">
      <c r="A39" s="25" t="s">
        <v>54</v>
      </c>
      <c r="B39" s="24"/>
      <c r="C39" s="24"/>
      <c r="D39" s="24"/>
      <c r="E39" s="24"/>
      <c r="F39" s="24"/>
    </row>
    <row r="41" spans="1:6" customHeight="1" ht="22">
      <c r="A41" s="6" t="s">
        <v>55</v>
      </c>
      <c r="B41" s="6"/>
      <c r="C41" s="6"/>
      <c r="D41" s="6"/>
      <c r="E41" s="6"/>
      <c r="F41" s="6"/>
    </row>
    <row r="42" spans="1:6">
      <c r="A42" s="7" t="s">
        <v>5</v>
      </c>
      <c r="B42" s="7" t="s">
        <v>56</v>
      </c>
      <c r="C42" s="7"/>
      <c r="D42" s="7" t="s">
        <v>57</v>
      </c>
      <c r="E42" s="7" t="s">
        <v>9</v>
      </c>
      <c r="F42" s="7" t="s">
        <v>10</v>
      </c>
    </row>
    <row r="43" spans="1:6" customHeight="1" ht="30">
      <c r="A43" s="39" t="s">
        <v>58</v>
      </c>
      <c r="B43" s="40" t="s">
        <v>59</v>
      </c>
      <c r="C43" s="41"/>
      <c r="D43" s="42">
        <f>E10</f>
        <v>1750000</v>
      </c>
      <c r="E43" s="43">
        <f>E10+E19</f>
        <v>6610000</v>
      </c>
      <c r="F43" s="44" t="s">
        <v>60</v>
      </c>
    </row>
    <row r="44" spans="1:6" customHeight="1" ht="30">
      <c r="A44" s="39" t="s">
        <v>61</v>
      </c>
      <c r="B44" s="40" t="s">
        <v>62</v>
      </c>
      <c r="C44" s="41"/>
      <c r="D44" s="42">
        <f>E10</f>
        <v>1750000</v>
      </c>
      <c r="E44" s="43">
        <f>E10+E30</f>
        <v>10390000</v>
      </c>
      <c r="F44" s="44" t="s">
        <v>63</v>
      </c>
    </row>
    <row r="45" spans="1:6">
      <c r="A45" s="45" t="s">
        <v>64</v>
      </c>
      <c r="B45" s="1"/>
      <c r="C45" s="1"/>
      <c r="D45" s="1"/>
      <c r="E45" s="33">
        <f>E19</f>
        <v>4860000</v>
      </c>
      <c r="F45" s="11" t="s">
        <v>65</v>
      </c>
    </row>
    <row r="47" spans="1:6" customHeight="1" ht="30">
      <c r="A47" s="25" t="s">
        <v>66</v>
      </c>
      <c r="B47" s="24"/>
      <c r="C47" s="24"/>
      <c r="D47" s="24"/>
      <c r="E47" s="24"/>
      <c r="F47" s="24"/>
    </row>
  </sheetData>
  <mergeCells>
    <mergeCell ref="A1:F1"/>
    <mergeCell ref="A2:F2"/>
    <mergeCell ref="A3:F3"/>
    <mergeCell ref="A4:F4"/>
    <mergeCell ref="A6:F6"/>
    <mergeCell ref="A10:D10"/>
    <mergeCell ref="A12:F12"/>
    <mergeCell ref="A17:D17"/>
    <mergeCell ref="A19:D19"/>
    <mergeCell ref="A21:F21"/>
    <mergeCell ref="A23:F23"/>
    <mergeCell ref="A28:D28"/>
    <mergeCell ref="A30:D30"/>
    <mergeCell ref="A31:D31"/>
    <mergeCell ref="A33:F33"/>
    <mergeCell ref="B35:C35"/>
    <mergeCell ref="B36:C36"/>
    <mergeCell ref="B37:C37"/>
    <mergeCell ref="A39:F39"/>
    <mergeCell ref="A41:F41"/>
    <mergeCell ref="B43:C43"/>
    <mergeCell ref="B44:C44"/>
    <mergeCell ref="A45:D45"/>
    <mergeCell ref="A47:F47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F57"/>
  <sheetViews>
    <sheetView tabSelected="0" workbookViewId="0" showGridLines="true" showRowColHeaders="1">
      <pane ySplit="5" activePane="bottomLeft" state="frozen" topLeftCell="A6"/>
      <selection pane="bottomLeft" activeCell="A57" sqref="A57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7" customWidth="true" style="0"/>
    <col min="4" max="4" width="16" customWidth="true" style="0"/>
    <col min="5" max="5" width="17" customWidth="true" style="0"/>
    <col min="6" max="6" width="48" customWidth="true" style="0"/>
  </cols>
  <sheetData>
    <row r="1" spans="1:6">
      <c r="A1" s="46" t="s">
        <v>67</v>
      </c>
    </row>
    <row r="2" spans="1:6">
      <c r="A2" s="3" t="s">
        <v>68</v>
      </c>
    </row>
    <row r="3" spans="1:6" customHeight="1" ht="32">
      <c r="A3" s="4" t="s">
        <v>69</v>
      </c>
    </row>
    <row r="4" spans="1:6">
      <c r="A4" s="5" t="s">
        <v>3</v>
      </c>
    </row>
    <row r="6" spans="1:6" customHeight="1" ht="22">
      <c r="A6" s="19" t="s">
        <v>70</v>
      </c>
      <c r="B6" s="19"/>
      <c r="C6" s="19"/>
      <c r="D6" s="19"/>
      <c r="E6" s="19"/>
      <c r="F6" s="19"/>
    </row>
    <row r="7" spans="1:6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8" spans="1:6">
      <c r="A8" s="4" t="s">
        <v>71</v>
      </c>
      <c r="B8" t="s">
        <v>12</v>
      </c>
      <c r="C8" s="9">
        <v>1</v>
      </c>
      <c r="D8" s="10">
        <v>16500000</v>
      </c>
      <c r="E8" s="8">
        <f>C8*D8</f>
        <v>16500000</v>
      </c>
      <c r="F8" s="12" t="s">
        <v>72</v>
      </c>
    </row>
    <row r="9" spans="1:6">
      <c r="A9" s="4" t="s">
        <v>73</v>
      </c>
      <c r="B9" t="s">
        <v>12</v>
      </c>
      <c r="C9" s="9">
        <v>0</v>
      </c>
      <c r="D9" s="10">
        <v>29500000</v>
      </c>
      <c r="E9" s="8">
        <f>C9*D9</f>
        <v>0</v>
      </c>
      <c r="F9" s="12" t="s">
        <v>74</v>
      </c>
    </row>
    <row r="10" spans="1:6" customHeight="1" ht="28">
      <c r="A10" s="48" t="s">
        <v>75</v>
      </c>
      <c r="B10" s="47"/>
      <c r="C10" s="47"/>
      <c r="D10" s="47"/>
      <c r="E10" s="47"/>
      <c r="F10" s="47"/>
    </row>
    <row r="11" spans="1:6">
      <c r="A11" s="16" t="s">
        <v>76</v>
      </c>
      <c r="B11" s="17"/>
      <c r="C11" s="17"/>
      <c r="D11" s="17"/>
      <c r="E11" s="18">
        <f>SUM(E8:E9)</f>
        <v>16500000</v>
      </c>
      <c r="F11" s="17"/>
    </row>
    <row r="13" spans="1:6" customHeight="1" ht="22">
      <c r="A13" s="19" t="s">
        <v>77</v>
      </c>
      <c r="B13" s="19"/>
      <c r="C13" s="19"/>
      <c r="D13" s="19"/>
      <c r="E13" s="19"/>
      <c r="F13" s="19"/>
    </row>
    <row r="14" spans="1:6">
      <c r="A14" s="7" t="s">
        <v>5</v>
      </c>
      <c r="B14" s="7" t="s">
        <v>6</v>
      </c>
      <c r="C14" s="7" t="s">
        <v>7</v>
      </c>
      <c r="D14" s="7" t="s">
        <v>8</v>
      </c>
      <c r="E14" s="7" t="s">
        <v>9</v>
      </c>
      <c r="F14" s="7" t="s">
        <v>10</v>
      </c>
    </row>
    <row r="15" spans="1:6">
      <c r="A15" s="4" t="s">
        <v>78</v>
      </c>
      <c r="B15" t="s">
        <v>12</v>
      </c>
      <c r="C15" s="9">
        <v>1</v>
      </c>
      <c r="D15" s="10">
        <v>1500000</v>
      </c>
      <c r="E15" s="8">
        <f>C15*D15</f>
        <v>1500000</v>
      </c>
      <c r="F15" s="12" t="s">
        <v>79</v>
      </c>
    </row>
    <row r="16" spans="1:6">
      <c r="A16" s="4" t="s">
        <v>14</v>
      </c>
      <c r="B16" t="s">
        <v>12</v>
      </c>
      <c r="C16" s="9">
        <v>1</v>
      </c>
      <c r="D16" s="10">
        <v>1000000</v>
      </c>
      <c r="E16" s="8">
        <f>C16*D16</f>
        <v>1000000</v>
      </c>
      <c r="F16" s="12" t="s">
        <v>80</v>
      </c>
    </row>
    <row r="17" spans="1:6">
      <c r="A17" s="16" t="s">
        <v>81</v>
      </c>
      <c r="B17" s="17"/>
      <c r="C17" s="17"/>
      <c r="D17" s="17"/>
      <c r="E17" s="18">
        <f>SUM(E15:E16)</f>
        <v>2500000</v>
      </c>
      <c r="F17" s="17"/>
    </row>
    <row r="19" spans="1:6" customHeight="1" ht="22">
      <c r="A19" s="19" t="s">
        <v>82</v>
      </c>
      <c r="B19" s="19"/>
      <c r="C19" s="19"/>
      <c r="D19" s="19"/>
      <c r="E19" s="19"/>
      <c r="F19" s="19"/>
    </row>
    <row r="20" spans="1:6">
      <c r="A20" s="7" t="s">
        <v>5</v>
      </c>
      <c r="B20" s="7" t="s">
        <v>83</v>
      </c>
      <c r="C20" s="7"/>
      <c r="D20" s="7" t="s">
        <v>84</v>
      </c>
      <c r="E20" s="7" t="s">
        <v>85</v>
      </c>
      <c r="F20" s="7" t="s">
        <v>10</v>
      </c>
    </row>
    <row r="21" spans="1:6" customHeight="1" ht="40">
      <c r="A21" s="49" t="s">
        <v>86</v>
      </c>
      <c r="B21" s="50" t="s">
        <v>87</v>
      </c>
      <c r="C21" s="51"/>
      <c r="D21" s="52">
        <v>24900</v>
      </c>
      <c r="E21" s="52">
        <v>84900</v>
      </c>
      <c r="F21" s="53" t="s">
        <v>88</v>
      </c>
    </row>
    <row r="22" spans="1:6" customHeight="1" ht="40">
      <c r="A22" s="55" t="s">
        <v>89</v>
      </c>
      <c r="B22" s="56" t="s">
        <v>90</v>
      </c>
      <c r="C22" s="57"/>
      <c r="D22" s="58">
        <v>116900</v>
      </c>
      <c r="E22" s="58">
        <v>193900</v>
      </c>
      <c r="F22" s="59" t="s">
        <v>91</v>
      </c>
    </row>
    <row r="23" spans="1:6" customHeight="1" ht="40">
      <c r="A23" s="34" t="s">
        <v>92</v>
      </c>
      <c r="B23" s="35" t="s">
        <v>93</v>
      </c>
      <c r="C23" s="36"/>
      <c r="D23" s="37">
        <v>151900</v>
      </c>
      <c r="E23" s="37">
        <v>232900</v>
      </c>
      <c r="F23" s="38" t="s">
        <v>94</v>
      </c>
    </row>
    <row r="24" spans="1:6">
      <c r="A24" s="15" t="s">
        <v>95</v>
      </c>
      <c r="B24" s="13"/>
      <c r="C24" s="13"/>
      <c r="D24" s="13"/>
      <c r="E24" s="14">
        <f>E23*12</f>
        <v>2794800</v>
      </c>
      <c r="F24" s="54" t="s">
        <v>96</v>
      </c>
    </row>
    <row r="25" spans="1:6" customHeight="1" ht="30">
      <c r="A25" s="25" t="s">
        <v>97</v>
      </c>
      <c r="B25" s="24"/>
      <c r="C25" s="24"/>
      <c r="D25" s="24"/>
      <c r="E25" s="24"/>
      <c r="F25" s="24"/>
    </row>
    <row r="27" spans="1:6" customHeight="1" ht="22">
      <c r="A27" s="29" t="s">
        <v>98</v>
      </c>
      <c r="B27" s="29"/>
      <c r="C27" s="29"/>
      <c r="D27" s="29"/>
      <c r="E27" s="29"/>
      <c r="F27" s="29"/>
    </row>
    <row r="28" spans="1:6" customHeight="1" ht="30">
      <c r="A28" s="61" t="s">
        <v>99</v>
      </c>
      <c r="B28" s="60"/>
      <c r="C28" s="60"/>
      <c r="D28" s="60"/>
      <c r="E28" s="60"/>
      <c r="F28" s="60"/>
    </row>
    <row r="29" spans="1:6">
      <c r="A29" s="7" t="s">
        <v>5</v>
      </c>
      <c r="B29" s="7" t="s">
        <v>6</v>
      </c>
      <c r="C29" s="7" t="s">
        <v>7</v>
      </c>
      <c r="D29" s="7" t="s">
        <v>8</v>
      </c>
      <c r="E29" s="7" t="s">
        <v>9</v>
      </c>
      <c r="F29" s="7" t="s">
        <v>10</v>
      </c>
    </row>
    <row r="30" spans="1:6">
      <c r="A30" s="4" t="s">
        <v>100</v>
      </c>
      <c r="B30" t="s">
        <v>101</v>
      </c>
      <c r="C30" s="9">
        <v>2</v>
      </c>
      <c r="D30" s="10">
        <v>750000</v>
      </c>
      <c r="E30" s="8">
        <f>C30*D30</f>
        <v>1500000</v>
      </c>
      <c r="F30" s="12" t="s">
        <v>102</v>
      </c>
    </row>
    <row r="31" spans="1:6">
      <c r="A31" s="62" t="s">
        <v>103</v>
      </c>
      <c r="B31" s="62"/>
      <c r="C31" s="62"/>
      <c r="D31" s="62"/>
      <c r="E31" s="62"/>
      <c r="F31" s="12" t="s">
        <v>104</v>
      </c>
    </row>
    <row r="32" spans="1:6">
      <c r="A32" s="62" t="s">
        <v>105</v>
      </c>
      <c r="B32" s="62"/>
      <c r="C32" s="62"/>
      <c r="D32" s="62"/>
      <c r="E32" s="62"/>
      <c r="F32" s="12" t="s">
        <v>106</v>
      </c>
    </row>
    <row r="33" spans="1:6">
      <c r="A33" s="62" t="s">
        <v>107</v>
      </c>
      <c r="B33" s="62"/>
      <c r="C33" s="62"/>
      <c r="D33" s="62"/>
      <c r="E33" s="62"/>
      <c r="F33" s="12" t="s">
        <v>108</v>
      </c>
    </row>
    <row r="34" spans="1:6">
      <c r="A34" s="62" t="s">
        <v>109</v>
      </c>
      <c r="B34" s="62"/>
      <c r="C34" s="62"/>
      <c r="D34" s="62"/>
      <c r="E34" s="62"/>
      <c r="F34" s="12" t="s">
        <v>110</v>
      </c>
    </row>
    <row r="35" spans="1:6">
      <c r="A35" s="62" t="s">
        <v>111</v>
      </c>
      <c r="B35" s="62"/>
      <c r="C35" s="62"/>
      <c r="D35" s="62"/>
      <c r="E35" s="62"/>
      <c r="F35" s="12" t="s">
        <v>112</v>
      </c>
    </row>
    <row r="36" spans="1:6">
      <c r="A36" s="16" t="s">
        <v>113</v>
      </c>
      <c r="B36" s="17"/>
      <c r="C36" s="17"/>
      <c r="D36" s="17"/>
      <c r="E36" s="18">
        <f>SUM(E30:E30)</f>
        <v>1500000</v>
      </c>
      <c r="F36" s="17"/>
    </row>
    <row r="37" spans="1:6">
      <c r="A37" s="4" t="s">
        <v>114</v>
      </c>
      <c r="B37" t="s">
        <v>52</v>
      </c>
      <c r="C37" s="9">
        <v>1</v>
      </c>
      <c r="D37" s="10">
        <v>350000</v>
      </c>
      <c r="E37" s="8">
        <f>C37*D37</f>
        <v>350000</v>
      </c>
      <c r="F37" s="12" t="s">
        <v>115</v>
      </c>
    </row>
    <row r="39" spans="1:6" customHeight="1" ht="22">
      <c r="A39" s="29" t="s">
        <v>38</v>
      </c>
      <c r="B39" s="29"/>
      <c r="C39" s="29"/>
      <c r="D39" s="29"/>
      <c r="E39" s="29"/>
      <c r="F39" s="29"/>
    </row>
    <row r="40" spans="1:6">
      <c r="A40" s="7" t="s">
        <v>5</v>
      </c>
      <c r="B40" s="7" t="s">
        <v>39</v>
      </c>
      <c r="C40" s="7"/>
      <c r="D40" s="7" t="s">
        <v>40</v>
      </c>
      <c r="E40" s="7" t="s">
        <v>41</v>
      </c>
      <c r="F40" s="7" t="s">
        <v>10</v>
      </c>
    </row>
    <row r="41" spans="1:6" customHeight="1" ht="34">
      <c r="A41" s="30" t="s">
        <v>42</v>
      </c>
      <c r="B41" s="31" t="s">
        <v>43</v>
      </c>
      <c r="C41" s="4"/>
      <c r="D41" s="32">
        <v>750000</v>
      </c>
      <c r="E41" s="32">
        <v>2000000</v>
      </c>
      <c r="F41" s="12" t="s">
        <v>44</v>
      </c>
    </row>
    <row r="42" spans="1:6" customHeight="1" ht="34">
      <c r="A42" s="30" t="s">
        <v>45</v>
      </c>
      <c r="B42" s="31" t="s">
        <v>46</v>
      </c>
      <c r="C42" s="4"/>
      <c r="D42" s="32">
        <v>3000000</v>
      </c>
      <c r="E42" s="32">
        <v>7500000</v>
      </c>
      <c r="F42" s="12" t="s">
        <v>47</v>
      </c>
    </row>
    <row r="43" spans="1:6" customHeight="1" ht="34">
      <c r="A43" s="30" t="s">
        <v>48</v>
      </c>
      <c r="B43" s="31" t="s">
        <v>49</v>
      </c>
      <c r="C43" s="4"/>
      <c r="D43" s="32">
        <v>9000000</v>
      </c>
      <c r="E43" s="32">
        <v>20000000</v>
      </c>
      <c r="F43" s="12" t="s">
        <v>50</v>
      </c>
    </row>
    <row r="44" spans="1:6">
      <c r="A44" s="4" t="s">
        <v>51</v>
      </c>
      <c r="B44" t="s">
        <v>52</v>
      </c>
      <c r="C44" s="9">
        <v>1</v>
      </c>
      <c r="D44" s="10">
        <v>250000</v>
      </c>
      <c r="E44" s="8">
        <f>C44*D44</f>
        <v>250000</v>
      </c>
      <c r="F44" s="12" t="s">
        <v>53</v>
      </c>
    </row>
    <row r="45" spans="1:6" customHeight="1" ht="28">
      <c r="A45" s="25" t="s">
        <v>54</v>
      </c>
      <c r="B45" s="24"/>
      <c r="C45" s="24"/>
      <c r="D45" s="24"/>
      <c r="E45" s="24"/>
      <c r="F45" s="24"/>
    </row>
    <row r="47" spans="1:6" customHeight="1" ht="22">
      <c r="A47" s="19" t="s">
        <v>116</v>
      </c>
      <c r="B47" s="19"/>
      <c r="C47" s="19"/>
      <c r="D47" s="19"/>
      <c r="E47" s="19"/>
      <c r="F47" s="19"/>
    </row>
    <row r="48" spans="1:6">
      <c r="A48" s="7" t="s">
        <v>5</v>
      </c>
      <c r="B48" s="7" t="s">
        <v>117</v>
      </c>
      <c r="C48" s="7"/>
      <c r="D48" s="7"/>
      <c r="E48" s="7" t="s">
        <v>9</v>
      </c>
      <c r="F48" s="7" t="s">
        <v>10</v>
      </c>
    </row>
    <row r="49" spans="1:6" customHeight="1" ht="26">
      <c r="A49" s="57" t="s">
        <v>118</v>
      </c>
      <c r="B49" s="59" t="s">
        <v>119</v>
      </c>
      <c r="C49" s="57"/>
      <c r="D49" s="57"/>
      <c r="E49" s="58">
        <f>E17</f>
        <v>2500000</v>
      </c>
      <c r="F49" s="59" t="s">
        <v>120</v>
      </c>
    </row>
    <row r="50" spans="1:6" customHeight="1" ht="26">
      <c r="A50" s="57" t="s">
        <v>121</v>
      </c>
      <c r="B50" s="59" t="s">
        <v>122</v>
      </c>
      <c r="C50" s="57"/>
      <c r="D50" s="57"/>
      <c r="E50" s="58">
        <f>E24</f>
        <v>2794800</v>
      </c>
      <c r="F50" s="59" t="s">
        <v>123</v>
      </c>
    </row>
    <row r="51" spans="1:6" customHeight="1" ht="26">
      <c r="A51" s="57" t="s">
        <v>124</v>
      </c>
      <c r="B51" s="59" t="s">
        <v>125</v>
      </c>
      <c r="C51" s="57"/>
      <c r="D51" s="57"/>
      <c r="E51" s="58">
        <f>E36/2</f>
        <v>750000</v>
      </c>
      <c r="F51" s="59" t="s">
        <v>126</v>
      </c>
    </row>
    <row r="52" spans="1:6">
      <c r="A52" s="16" t="s">
        <v>127</v>
      </c>
      <c r="B52" s="17"/>
      <c r="C52" s="17"/>
      <c r="D52" s="17"/>
      <c r="E52" s="18">
        <f>SUM(E49:E51)</f>
        <v>6044800</v>
      </c>
      <c r="F52" s="17"/>
    </row>
    <row r="53" spans="1:6">
      <c r="A53" s="21" t="s">
        <v>128</v>
      </c>
      <c r="B53" s="22"/>
      <c r="C53" s="22"/>
      <c r="D53" s="22"/>
      <c r="E53" s="63">
        <f>D8+E52</f>
        <v>22544800</v>
      </c>
      <c r="F53" s="64" t="s">
        <v>129</v>
      </c>
    </row>
    <row r="54" spans="1:6">
      <c r="A54" s="65" t="s">
        <v>130</v>
      </c>
      <c r="B54" s="66"/>
      <c r="C54" s="66"/>
      <c r="D54" s="66"/>
      <c r="E54" s="67">
        <f>D9+E52</f>
        <v>35544800</v>
      </c>
      <c r="F54" s="68" t="s">
        <v>131</v>
      </c>
    </row>
    <row r="55" spans="1:6">
      <c r="A55" s="15" t="s">
        <v>132</v>
      </c>
      <c r="B55" s="13"/>
      <c r="C55" s="13"/>
      <c r="D55" s="13"/>
      <c r="E55" s="14">
        <f>E24+E36</f>
        <v>4294800</v>
      </c>
      <c r="F55" s="54" t="s">
        <v>133</v>
      </c>
    </row>
    <row r="57" spans="1:6" customHeight="1" ht="30">
      <c r="A57" s="25" t="s">
        <v>134</v>
      </c>
      <c r="B57" s="24"/>
      <c r="C57" s="24"/>
      <c r="D57" s="24"/>
      <c r="E57" s="24"/>
      <c r="F57" s="24"/>
    </row>
  </sheetData>
  <mergeCells>
    <mergeCell ref="A1:F1"/>
    <mergeCell ref="A2:F2"/>
    <mergeCell ref="A3:F3"/>
    <mergeCell ref="A4:F4"/>
    <mergeCell ref="A6:F6"/>
    <mergeCell ref="A10:F10"/>
    <mergeCell ref="A11:D11"/>
    <mergeCell ref="A13:F13"/>
    <mergeCell ref="A17:D17"/>
    <mergeCell ref="A19:F19"/>
    <mergeCell ref="B21:C21"/>
    <mergeCell ref="B22:C22"/>
    <mergeCell ref="B23:C23"/>
    <mergeCell ref="A24:D24"/>
    <mergeCell ref="A25:F25"/>
    <mergeCell ref="A27:F27"/>
    <mergeCell ref="A28:F28"/>
    <mergeCell ref="B31:E31"/>
    <mergeCell ref="B32:E32"/>
    <mergeCell ref="B33:E33"/>
    <mergeCell ref="B34:E34"/>
    <mergeCell ref="B35:E35"/>
    <mergeCell ref="A36:D36"/>
    <mergeCell ref="A39:F39"/>
    <mergeCell ref="B41:C41"/>
    <mergeCell ref="B42:C42"/>
    <mergeCell ref="B43:C43"/>
    <mergeCell ref="A45:F45"/>
    <mergeCell ref="A47:F47"/>
    <mergeCell ref="B49:D49"/>
    <mergeCell ref="B50:D50"/>
    <mergeCell ref="B51:D51"/>
    <mergeCell ref="A52:D52"/>
    <mergeCell ref="A53:D53"/>
    <mergeCell ref="A54:D54"/>
    <mergeCell ref="A55:D55"/>
    <mergeCell ref="A57:F57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Langganan (Server Mooda)</vt:lpstr>
      <vt:lpstr>2. Jual Putus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Mooda.ID</dc:creator>
  <cp:lastModifiedBy>Unknown Creator</cp:lastModifiedBy>
  <dcterms:created xsi:type="dcterms:W3CDTF">2026-08-04T21:13:54+07:00</dcterms:created>
  <dcterms:modified xsi:type="dcterms:W3CDTF">2026-08-04T21:13:54+07:00</dcterms:modified>
  <dc:title>RAB Mooda Stok — Aplikasi Inventori Ternak &amp; Perkebunan</dc:title>
  <dc:description>Dua skema: langganan di server Mooda, atau jual putus.</dc:description>
  <dc:subject>Rencana Anggaran Biaya</dc:subject>
  <cp:keywords/>
  <cp:category/>
</cp:coreProperties>
</file>