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1. Langganan (Server Mooda)" sheetId="1" r:id="rId4"/>
    <sheet name="2. Jual Putus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<sst xmlns="http://schemas.openxmlformats.org/spreadsheetml/2006/main" uniqueCount="139">
  <si>
    <t>RENCANA ANGGARAN BIAYA — SKEMA LANGGANAN</t>
  </si>
  <si>
    <t>Mooda Stok — Aplikasi Inventori &amp; Perdagangan Ternak / Perkebunan</t>
  </si>
  <si>
    <t>Aplikasi berjalan di server Mooda. Klien memakai aplikasi (bukan memiliki). Alamat memakai subdomain Mooda, mis. ayam.mooda.id — domain sendiri tidak termasuk skema ini.</t>
  </si>
  <si>
    <t>Tanggal disusun: 04/08/2026  ·  Berlaku 30 hari  ·  Semua angka belum termasuk PPN</t>
  </si>
  <si>
    <t>A. BIAYA SEKALI BAYAR — IMPLEMENTASI</t>
  </si>
  <si>
    <t>Uraian</t>
  </si>
  <si>
    <t>Satuan</t>
  </si>
  <si>
    <t>Vol</t>
  </si>
  <si>
    <t>Harga Satuan</t>
  </si>
  <si>
    <t>Jumlah</t>
  </si>
  <si>
    <t>Catatan</t>
  </si>
  <si>
    <t>Penyiapan tenant, subdomain &amp; sertifikat HTTPS</t>
  </si>
  <si>
    <t>paket</t>
  </si>
  <si>
    <t>Pembuatan ruang kerja klien di server Mooda + SSL otomatis.</t>
  </si>
  <si>
    <t>Pengaturan data induk awal (supplier, agen, item, satuan)</t>
  </si>
  <si>
    <t>Diinput bersama klien agar langsung sesuai kebiasaan usaha mereka.</t>
  </si>
  <si>
    <t>Pelatihan pengguna — 2 sesi</t>
  </si>
  <si>
    <t>sesi</t>
  </si>
  <si>
    <t>Sesi 1: owner &amp; admin (harga, laporan, deposit). Sesi 2: supervisor &amp; gudang (barang masuk/keluar, realisasi).</t>
  </si>
  <si>
    <t>Pendampingan 2 minggu pertama</t>
  </si>
  <si>
    <t>Jam kerja, lewat WhatsApp. Masa paling rawan salah input.</t>
  </si>
  <si>
    <t>SUBTOTAL A (sekali bayar)</t>
  </si>
  <si>
    <t>B. LANGGANAN BULANAN — PAKET PETERNAKAN</t>
  </si>
  <si>
    <t>Pemakaian aplikasi (seluruh modul)</t>
  </si>
  <si>
    <t>bulan</t>
  </si>
  <si>
    <t>Barang masuk/keluar FIFO, deposit supplier, realisasi, piutang agen, produksi telur, penyesuaian stok, gudang, laporan.</t>
  </si>
  <si>
    <t>Hosting, pencadangan harian &amp; pemantauan</t>
  </si>
  <si>
    <t>Server, basis data terpisah, cadangan otomatis, pemantauan layanan.</t>
  </si>
  <si>
    <t>Pembaruan fitur &amp; perbaikan</t>
  </si>
  <si>
    <t>TERMASUK — tanpa biaya tambahan selama berlangganan.</t>
  </si>
  <si>
    <t>Dukungan WhatsApp jam kerja</t>
  </si>
  <si>
    <t>TERMASUK — Sen–Sab 08.00–17.00.</t>
  </si>
  <si>
    <t>LANGGANAN PER BULAN</t>
  </si>
  <si>
    <t>C. PILIHAN MASA LANGGANAN</t>
  </si>
  <si>
    <t>Bulan</t>
  </si>
  <si>
    <t>Diskon</t>
  </si>
  <si>
    <t>Efektif/Bulan</t>
  </si>
  <si>
    <t>Total Dibayar</t>
  </si>
  <si>
    <t>Bulanan (tanpa kontrak)</t>
  </si>
  <si>
    <t>Paling lentur. Bisa berhenti kapan saja dengan pemberitahuan 30 hari.</t>
  </si>
  <si>
    <t>1 tahun dibayar di muka</t>
  </si>
  <si>
    <t>Diskon 10%. Cocok untuk klien yang baru mencoba tapi sudah yakin.</t>
  </si>
  <si>
    <t>2 tahun dibayar di muka (paket Customize)</t>
  </si>
  <si>
    <t>Diskon 20%. Skema baku Mooda untuk paket Customize — harga terkunci 2 tahun.</t>
  </si>
  <si>
    <t>DIREKOMENDASIKAN: paket 2 tahun. Harga terkunci, dan cocok dengan rencana menambah kategori usaha lain (mis. sawit) dalam aplikasi yang sama.</t>
  </si>
  <si>
    <t>D. TAMBAHAN KATEGORI USAHA (mis. SAWIT) DI APLIKASI YANG SAMA</t>
  </si>
  <si>
    <t>Penyiapan kategori usaha baru</t>
  </si>
  <si>
    <t>kategori</t>
  </si>
  <si>
    <t>Sekali bayar per kategori: penyesuaian istilah (satuan, jenis barang), kategori item, dan laporan.</t>
  </si>
  <si>
    <t>Tambahan langganan per kategori</t>
  </si>
  <si>
    <t>Ditambahkan ke langganan bulanan. Data antar kategori terpisah, laporan bisa digabung.</t>
  </si>
  <si>
    <t>Kategori tambahan memakai basis data &amp; akun yang sama, jadi tidak perlu langganan penuh kedua. Contoh: Ternak + Sawit = Rp600.000/bulan, bukan Rp900.000/bulan.</t>
  </si>
  <si>
    <t>E. BATAS PAKET &amp; YANG TIDAK TERMASUK</t>
  </si>
  <si>
    <t>Jumlah pengguna</t>
  </si>
  <si>
    <t>akun</t>
  </si>
  <si>
    <t>TANPA BATAS — owner, admin, supervisor, gudang, sebanyak yang dibutuhkan.</t>
  </si>
  <si>
    <t>Penyimpanan berkas (foto bon, bukti transfer)</t>
  </si>
  <si>
    <t>GB</t>
  </si>
  <si>
    <t>Termasuk 5 GB. Tambahan Rp50.000/bulan per 5 GB berikutnya.</t>
  </si>
  <si>
    <t>TIDAK TERMASUK dalam skema langganan:
• Domain sendiri (mis. ayamjaya.com) — skema ini memakai subdomain Mooda.
• VPS / server terpisah milik klien.
• Payment gateway (pembayaran online) — lihat Tab 2 bila diperlukan.
• Perangkat keras: printer thermal, timbangan digital, tablet/HP.
• Integrasi ke sistem pihak ketiga (akuntansi, e-Faktur, marketplace).
• Penambahan modul baru di luar lingkup — dihitung terpisah per permintaan.</t>
  </si>
  <si>
    <t>F. RINGKASAN BIAYA TAHUN PERTAMA</t>
  </si>
  <si>
    <t>Implementasi (sekali bayar)</t>
  </si>
  <si>
    <t>Langganan 1 tahun (diskon 10%)</t>
  </si>
  <si>
    <t>TOTAL TAHUN PERTAMA (opsi 1 tahun)</t>
  </si>
  <si>
    <t>Alternatif: Implementasi + Langganan 2 tahun (diskon 20%)</t>
  </si>
  <si>
    <t>Tahun kedua dan seterusnya (opsi 1 tahun): hanya biaya langganan, tanpa implementasi lagi.</t>
  </si>
  <si>
    <t>RENCANA ANGGARAN BIAYA — SKEMA JUAL PUTUS</t>
  </si>
  <si>
    <t>Aplikasi dipasang di server milik klien. Klien menanggung hosting, cadangan, dan keamanan. Mooda tidak lagi memegang data klien.</t>
  </si>
  <si>
    <t>A. HARGA APLIKASI — PILIH SALAH SATU</t>
  </si>
  <si>
    <t>Opsi 1 — LISENSI PEMAKAIAN (tanpa sumber kode)</t>
  </si>
  <si>
    <t>lisensi</t>
  </si>
  <si>
    <t>Aplikasi dipasang &amp; dijalankan di server klien. Sumber kode tetap milik Mooda. Klien tidak bisa memodifikasi sendiri; perubahan lewat Mooda.</t>
  </si>
  <si>
    <t>Opsi 2 — SUMBER KODE + HAK MODIFIKASI</t>
  </si>
  <si>
    <t>Sumber kode diserahkan. Klien boleh memodifikasi &amp; memakai untuk badan usaha sendiri. TIDAK termasuk hak menjual ulang / menyewakan ke pihak lain.</t>
  </si>
  <si>
    <t>Kenapa jauh lebih mahal dari langganan? Pada jual putus, seluruh biaya pengembangan ditanggung sekali oleh satu klien, dan Mooda kehilangan pendapatan berulang. Nilai ini setara ± 9 tahun langganan (Rp450.000 x 24 bln x ...) — silakan bandingkan di Tab 1 bagian Ringkasan.</t>
  </si>
  <si>
    <t>B. HAK LISENSI — RINCIAN</t>
  </si>
  <si>
    <t>Jumlah badan usaha yang boleh memakai</t>
  </si>
  <si>
    <t>badan usaha</t>
  </si>
  <si>
    <t>Lisensi berlaku untuk SATU badan usaha. Cabang/gudang tambahan milik badan usaha yang sama: tidak dikenai biaya.</t>
  </si>
  <si>
    <t>Tambahan badan usaha (grup usaha berbeda)</t>
  </si>
  <si>
    <t>Bila lisensi ingin dipakai PT/CV lain dalam satu grup.</t>
  </si>
  <si>
    <t>Hak menjual ulang / menyewakan ke pihak ketiga</t>
  </si>
  <si>
    <t>TIDAK TERMASUK pada kedua opsi. Bila diinginkan, dirundingkan terpisah sebagai kerja sama.</t>
  </si>
  <si>
    <t>C. PEMELIHARAAN TAHUNAN (mulai tahun ke-2, opsional)</t>
  </si>
  <si>
    <t>% Lisensi</t>
  </si>
  <si>
    <t>Dasar (Opsi 1)</t>
  </si>
  <si>
    <t>Paket Dasar — perbaikan bug + pembaruan keamanan</t>
  </si>
  <si>
    <t>tahun</t>
  </si>
  <si>
    <t>Tanpa penambahan fitur. Tanggap dalam 2 hari kerja.</t>
  </si>
  <si>
    <t>Paket Penuh — Dasar + perubahan kecil 8 jam/bulan</t>
  </si>
  <si>
    <t>Termasuk jam kerja pengembang untuk penyesuaian kecil. Tanggap dalam 1 hari kerja.</t>
  </si>
  <si>
    <t>Tanpa pemeliharaan</t>
  </si>
  <si>
    <t>Diperbolehkan. Perbaikan di luar kontrak dihitung Rp350.000/jam, minimum 4 jam.</t>
  </si>
  <si>
    <t>D. HOSTING — PERINGATAN TEKNIS PENTING</t>
  </si>
  <si>
    <t>APLIKASI INI TIDAK BISA BERJALAN DI SHARED HOSTING BIASA.
Yang dibutuhkan: PostgreSQL, Redis, dan proses latar yang hidup terus (Octane/RoadRunner + Reverb).
Shared hosting umumnya hanya menyediakan MySQL, tanpa Redis, dan mematikan proses latar.
Ada dua jalan: (D1) VPS — cara yang benar dan disarankan; atau (D2) versi hemat yang
dipaksa jalan di shared hosting dengan konsekuensi nyata di bawah.</t>
  </si>
  <si>
    <t>D1. VPS 4 vCPU / 8 GB RAM / 100 GB SSD (disarankan)</t>
  </si>
  <si>
    <t>Sanggup menjalankan seluruh aplikasi seperti apa adanya. Harga pasar Hostinger/Biznet/IdCloudHost kelas ini.</t>
  </si>
  <si>
    <t>Penyiapan VPS: pemasangan, pengamanan, HTTPS, cadangan otomatis</t>
  </si>
  <si>
    <t>Sekali bayar. Termasuk firewall, fail2ban, sertifikat otomatis, cadangan harian ke penyimpanan terpisah.</t>
  </si>
  <si>
    <t>SUBTOTAL D1 (VPS, tahun pertama)</t>
  </si>
  <si>
    <t>D2. Shared hosting kelas bisnis (PHP 8.3, PostgreSQL bila tersedia)</t>
  </si>
  <si>
    <t>Hanya bila penyedia menyanggupi PostgreSQL. Bila hanya MySQL, perlu penyesuaian kode (lihat baris berikut).</t>
  </si>
  <si>
    <t>Penyesuaian agar jalan tanpa Redis &amp; Octane</t>
  </si>
  <si>
    <t>Sesi &amp; cache dipindah ke basis data, antrean jadi sinkron, WebSocket dimatikan. Aplikasi JADI LEBIH LAMBAT dan fitur waktu-nyata hilang.</t>
  </si>
  <si>
    <t>Pemindahan PostgreSQL → MySQL (bila penyedia tak punya PostgreSQL)</t>
  </si>
  <si>
    <t>Perlu bila shared hosting hanya menyediakan MySQL. Termasuk penyesuaian kueri &amp; pengujian ulang.</t>
  </si>
  <si>
    <t>SUBTOTAL D2 (shared hosting, tahun pertama)</t>
  </si>
  <si>
    <t>Perhatikan: D2 terlihat murah pada biaya hosting, tetapi biaya penyesuaiannya justru LEBIH BESAR daripada tiga tahun VPS — dan hasilnya aplikasi yang lebih lambat serta kehilangan pembaruan waktu-nyata. Kami menyarankan D1.</t>
  </si>
  <si>
    <t>E. PAYMENT GATEWAY (hanya bila ingin terima pembayaran online)</t>
  </si>
  <si>
    <t>Integrasi payment gateway (Tripay / Midtrans)</t>
  </si>
  <si>
    <t>Sekali bayar: pendaftaran merchant, sambungan API, halaman bayar, penanganan callback, uji transaksi.</t>
  </si>
  <si>
    <t>Sertifikat &amp; domain khusus callback (bila diperlukan)</t>
  </si>
  <si>
    <t>Beberapa penyedia mensyaratkan domain terverifikasi untuk callback.</t>
  </si>
  <si>
    <t>SUBTOTAL E (sekali bayar + tahunan)</t>
  </si>
  <si>
    <t>Biaya per transaksi dibayar langsung ke penyedia, BUKAN ke Mooda — besarnya mengikuti tarif penyedia (umumnya QRIS ± 0,7%, Virtual Account ± Rp4.000/transaksi). Payment gateway hanya masuk akal bila agen membayar secara online; bila pembayaran agen tunai/transfer manual, bagian E ini tidak diperlukan.</t>
  </si>
  <si>
    <t>F. RINGKASAN — CONTOH SKENARIO JUAL PUTUS</t>
  </si>
  <si>
    <t>Lisensi pemakaian (Opsi 1)</t>
  </si>
  <si>
    <t>Hosting VPS + penyiapan (D1, tahun pertama)</t>
  </si>
  <si>
    <t>Pemeliharaan tahun ke-2 (Paket Dasar 15%)</t>
  </si>
  <si>
    <t>TOTAL TAHUN PERTAMA (tanpa payment gateway)</t>
  </si>
  <si>
    <t>Bila memakai payment gateway, tambahkan</t>
  </si>
  <si>
    <t>G. PERBANDINGAN JANGKA PANJANG — LANGGANAN vs JUAL PUTUS</t>
  </si>
  <si>
    <t>Tahun</t>
  </si>
  <si>
    <t>Langganan</t>
  </si>
  <si>
    <t>Jual Putus + Maintenance</t>
  </si>
  <si>
    <t>Jual Putus tanpa Maintenance</t>
  </si>
  <si>
    <t>Kumulatif sampai tahun ke-1</t>
  </si>
  <si>
    <t>Tahun pertama: langganan jauh lebih ringan.</t>
  </si>
  <si>
    <t>Kumulatif sampai tahun ke-2</t>
  </si>
  <si>
    <t>Kumulatif sampai tahun ke-3</t>
  </si>
  <si>
    <t>Kumulatif sampai tahun ke-4</t>
  </si>
  <si>
    <t>Kumulatif sampai tahun ke-5</t>
  </si>
  <si>
    <t>Kumulatif sampai tahun ke-6</t>
  </si>
  <si>
    <t>Kumulatif sampai tahun ke-7</t>
  </si>
  <si>
    <t>Kumulatif sampai tahun ke-8</t>
  </si>
  <si>
    <t>Kumulatif sampai tahun ke-9</t>
  </si>
  <si>
    <t>Kumulatif sampai tahun ke-10</t>
  </si>
  <si>
    <t>TEMUAN YANG HARUS DISAMPAIKAN APA ADANYA:
1) Dengan angka pada berkas ini, JUAL PUTUS + MAINTENANCE TIDAK PERNAH menjadi lebih murah. Sebabnya biaya berulangnya (VPS Rp5.400.000 + maintenance Rp7.200.000 = Rp12.600.000/tahun) lebih besar daripada langganan itu sendiri (Rp4.320.000/tahun). Selisihnya justru makin lebar setiap tahun.
2) Tanpa maintenance, jual putus baru lebih hemat setelah lebih dari 10 tahun — dengan syarat klien sanggup mengurus server, cadangan, dan pembaruan keamanan sendiri.
3) Karena itu jual putus sebaiknya TIDAK dijual sebagai cara berhemat, melainkan karena alasan lain: data sepenuhnya di tangan klien, tidak bergantung pada Mooda, dan aplikasi menjadi aset perusahaan.</t>
  </si>
  <si>
    <t>PERTIMBANGAN HARGA (untuk internal Mooda, boleh dihapus sebelum dikirim ke klien):
Rasio lisensi terhadap langganan saat ini = Rp48.000.000 / Rp4.320.000/tahun = 11.1 tahun langganan. Lazimnya jual putus dihargai 3-5 tahun langganan. Artinya ada dua pilihan: turunkan lisensi ke kisaran Rp17.280.000 (4 tahun), atau naikkan langganan bila memang nilai aplikasinya dinilai setara Rp48.000.000 — mis. langganan Rp1.000.000/bulan. Keputusan ini milik Mooda; berkas ini hanya menunjukkan konsekuensi angkanya.</t>
  </si>
</sst>
</file>

<file path=xl/styles.xml><?xml version="1.0" encoding="utf-8"?>
<styleSheet xmlns="http://schemas.openxmlformats.org/spreadsheetml/2006/main">
  <numFmts count="2">
    <numFmt numFmtId="164" formatCode="&quot;Rp&quot;#,##0"/>
    <numFmt numFmtId="165" formatCode="0&quot;%&quot;"/>
  </numFmts>
  <fonts count="11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15803D"/>
      <name val="Calibri"/>
    </font>
    <font>
      <b val="0"/>
      <i val="0"/>
      <strike val="0"/>
      <u val="none"/>
      <sz val="11"/>
      <color rgb="FF6B7280"/>
      <name val="Calibri"/>
    </font>
    <font>
      <b val="0"/>
      <i val="1"/>
      <strike val="0"/>
      <u val="none"/>
      <sz val="9"/>
      <color rgb="FF6B728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0"/>
      <color rgb="FF000000"/>
      <name val="Calibri"/>
    </font>
    <font>
      <b val="0"/>
      <i val="0"/>
      <strike val="0"/>
      <u val="none"/>
      <sz val="9"/>
      <color rgb="FF6B7280"/>
      <name val="Calibri"/>
    </font>
    <font>
      <b val="1"/>
      <i val="0"/>
      <strike val="0"/>
      <u val="none"/>
      <sz val="9"/>
      <color rgb="FF6B7280"/>
      <name val="Calibri"/>
    </font>
    <font>
      <b val="0"/>
      <i val="0"/>
      <strike val="0"/>
      <u val="none"/>
      <sz val="9.5"/>
      <color rgb="FF000000"/>
      <name val="Calibri"/>
    </font>
    <font>
      <b val="1"/>
      <i val="0"/>
      <strike val="0"/>
      <u val="none"/>
      <sz val="16"/>
      <color rgb="FF1D4ED8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15803D"/>
        <bgColor rgb="FF000000"/>
      </patternFill>
    </fill>
    <fill>
      <patternFill patternType="solid">
        <fgColor rgb="FFE5E7EB"/>
        <bgColor rgb="FF000000"/>
      </patternFill>
    </fill>
    <fill>
      <patternFill patternType="solid">
        <fgColor rgb="FFFFF3CD"/>
        <bgColor rgb="FF000000"/>
      </patternFill>
    </fill>
    <fill>
      <patternFill patternType="solid">
        <fgColor rgb="FFF3F4F6"/>
        <bgColor rgb="FF000000"/>
      </patternFill>
    </fill>
    <fill>
      <patternFill patternType="solid">
        <fgColor rgb="FFDCFCE7"/>
        <bgColor rgb="FF000000"/>
      </patternFill>
    </fill>
    <fill>
      <patternFill patternType="solid">
        <fgColor rgb="FFDBEAFE"/>
        <bgColor rgb="FF000000"/>
      </patternFill>
    </fill>
    <fill>
      <patternFill patternType="solid">
        <fgColor rgb="FFB45309"/>
        <bgColor rgb="FF000000"/>
      </patternFill>
    </fill>
    <fill>
      <patternFill patternType="solid">
        <fgColor rgb="FFFEE2E2"/>
        <bgColor rgb="FF000000"/>
      </patternFill>
    </fill>
    <fill>
      <patternFill patternType="solid">
        <fgColor rgb="FF1D4ED8"/>
        <bgColor rgb="FF000000"/>
      </patternFill>
    </fill>
    <fill>
      <patternFill patternType="solid">
        <fgColor rgb="FFFEF3C7"/>
        <bgColor rgb="FF000000"/>
      </patternFill>
    </fill>
    <fill>
      <patternFill patternType="solid">
        <fgColor rgb="FFB91C1C"/>
        <bgColor rgb="FF000000"/>
      </patternFill>
    </fill>
    <fill>
      <patternFill patternType="solid">
        <fgColor rgb="FF6D28D9"/>
        <bgColor rgb="FF000000"/>
      </patternFill>
    </fill>
    <fill>
      <patternFill patternType="solid">
        <fgColor rgb="FFE0E7FF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5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vertical="bottom" textRotation="0" wrapText="true" shrinkToFit="false"/>
    </xf>
    <xf xfId="0" fontId="4" numFmtId="0" fillId="0" borderId="0" applyFont="1" applyNumberFormat="0" applyFill="0" applyBorder="0" applyAlignment="0"/>
    <xf xfId="0" fontId="5" numFmtId="0" fillId="2" borderId="0" applyFont="1" applyNumberFormat="0" applyFill="1" applyBorder="0" applyAlignment="1">
      <alignment vertical="center" textRotation="0" wrapText="false" shrinkToFit="false"/>
    </xf>
    <xf xfId="0" fontId="6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164" fillId="0" borderId="0" applyFont="0" applyNumberFormat="1" applyFill="0" applyBorder="0" applyAlignment="0"/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0" numFmtId="0" fillId="4" borderId="0" applyFont="0" applyNumberFormat="0" applyFill="1" applyBorder="0" applyAlignment="1">
      <alignment horizontal="center" vertical="bottom" textRotation="0" wrapText="false" shrinkToFit="false"/>
    </xf>
    <xf xfId="0" fontId="0" numFmtId="164" fillId="4" borderId="0" applyFont="0" applyNumberFormat="1" applyFill="1" applyBorder="0" applyAlignment="0"/>
    <xf xfId="0" fontId="7" numFmtId="0" fillId="0" borderId="0" applyFont="1" applyNumberFormat="0" applyFill="0" applyBorder="0" applyAlignment="0"/>
    <xf xfId="0" fontId="7" numFmtId="0" fillId="0" borderId="0" applyFont="1" applyNumberFormat="0" applyFill="0" applyBorder="0" applyAlignment="1">
      <alignment vertical="bottom" textRotation="0" wrapText="true" shrinkToFit="false"/>
    </xf>
    <xf xfId="0" fontId="7" numFmtId="0" fillId="0" borderId="0" applyFont="1" applyNumberFormat="0" applyFill="0" applyBorder="0" applyAlignment="1">
      <alignment vertical="center" textRotation="0" wrapText="true" shrinkToFit="false"/>
    </xf>
    <xf xfId="0" fontId="1" numFmtId="0" fillId="5" borderId="2" applyFont="1" applyNumberFormat="0" applyFill="1" applyBorder="1" applyAlignment="1">
      <alignment horizontal="right" vertical="bottom" textRotation="0" wrapText="false" shrinkToFit="false"/>
    </xf>
    <xf xfId="0" fontId="1" numFmtId="0" fillId="5" borderId="2" applyFont="1" applyNumberFormat="0" applyFill="1" applyBorder="1" applyAlignment="0"/>
    <xf xfId="0" fontId="1" numFmtId="164" fillId="5" borderId="2" applyFont="1" applyNumberFormat="1" applyFill="1" applyBorder="1" applyAlignment="0"/>
    <xf xfId="0" fontId="0" numFmtId="165" fillId="4" borderId="0" applyFont="0" applyNumberFormat="1" applyFill="1" applyBorder="0" applyAlignment="1">
      <alignment horizontal="center" vertical="bottom" textRotation="0" wrapText="false" shrinkToFit="false"/>
    </xf>
    <xf xfId="0" fontId="0" numFmtId="0" fillId="6" borderId="0" applyFont="0" applyNumberFormat="0" applyFill="1" applyBorder="0" applyAlignment="0"/>
    <xf xfId="0" fontId="1" numFmtId="0" fillId="6" borderId="0" applyFont="1" applyNumberFormat="0" applyFill="1" applyBorder="0" applyAlignment="0"/>
    <xf xfId="0" fontId="1" numFmtId="0" fillId="6" borderId="0" applyFont="1" applyNumberFormat="0" applyFill="1" applyBorder="0" applyAlignment="1">
      <alignment horizontal="center" vertical="bottom" textRotation="0" wrapText="false" shrinkToFit="false"/>
    </xf>
    <xf xfId="0" fontId="1" numFmtId="165" fillId="6" borderId="0" applyFont="1" applyNumberFormat="1" applyFill="1" applyBorder="0" applyAlignment="1">
      <alignment horizontal="center" vertical="bottom" textRotation="0" wrapText="false" shrinkToFit="false"/>
    </xf>
    <xf xfId="0" fontId="1" numFmtId="164" fillId="6" borderId="0" applyFont="1" applyNumberFormat="1" applyFill="1" applyBorder="0" applyAlignment="0"/>
    <xf xfId="0" fontId="8" numFmtId="0" fillId="6" borderId="0" applyFont="1" applyNumberFormat="0" applyFill="1" applyBorder="0" applyAlignment="1">
      <alignment vertical="bottom" textRotation="0" wrapText="true" shrinkToFit="false"/>
    </xf>
    <xf xfId="0" fontId="9" numFmtId="0" fillId="6" borderId="0" applyFont="1" applyNumberFormat="0" applyFill="1" applyBorder="0" applyAlignment="1">
      <alignment vertical="top" textRotation="0" wrapText="true" shrinkToFit="false"/>
    </xf>
    <xf xfId="0" fontId="0" numFmtId="0" fillId="7" borderId="0" applyFont="0" applyNumberFormat="0" applyFill="1" applyBorder="0" applyAlignment="0"/>
    <xf xfId="0" fontId="9" numFmtId="0" fillId="7" borderId="0" applyFont="1" applyNumberFormat="0" applyFill="1" applyBorder="0" applyAlignment="1">
      <alignment vertical="top" textRotation="0" wrapText="true" shrinkToFit="false"/>
    </xf>
    <xf xfId="0" fontId="5" numFmtId="0" fillId="8" borderId="0" applyFont="1" applyNumberFormat="0" applyFill="1" applyBorder="0" applyAlignment="1">
      <alignment vertical="center" textRotation="0" wrapText="false" shrinkToFit="false"/>
    </xf>
    <xf xfId="0" fontId="0" numFmtId="0" fillId="9" borderId="0" applyFont="0" applyNumberFormat="0" applyFill="1" applyBorder="0" applyAlignment="0"/>
    <xf xfId="0" fontId="9" numFmtId="0" fillId="9" borderId="0" applyFont="1" applyNumberFormat="0" applyFill="1" applyBorder="0" applyAlignment="1">
      <alignment vertical="top" textRotation="0" wrapText="true" shrinkToFit="false"/>
    </xf>
    <xf xfId="0" fontId="1" numFmtId="0" fillId="6" borderId="2" applyFont="1" applyNumberFormat="0" applyFill="1" applyBorder="1" applyAlignment="1">
      <alignment horizontal="right" vertical="bottom" textRotation="0" wrapText="false" shrinkToFit="false"/>
    </xf>
    <xf xfId="0" fontId="1" numFmtId="0" fillId="6" borderId="2" applyFont="1" applyNumberFormat="0" applyFill="1" applyBorder="1" applyAlignment="0"/>
    <xf xfId="0" fontId="1" numFmtId="164" fillId="6" borderId="2" applyFont="1" applyNumberFormat="1" applyFill="1" applyBorder="1" applyAlignment="0"/>
    <xf xfId="0" fontId="1" numFmtId="164" fillId="0" borderId="0" applyFont="1" applyNumberFormat="1" applyFill="0" applyBorder="0" applyAlignment="0"/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7" borderId="0" applyFont="1" applyNumberFormat="0" applyFill="1" applyBorder="0" applyAlignment="1">
      <alignment horizontal="right" vertical="bottom" textRotation="0" wrapText="false" shrinkToFit="false"/>
    </xf>
    <xf xfId="0" fontId="1" numFmtId="0" fillId="7" borderId="0" applyFont="1" applyNumberFormat="0" applyFill="1" applyBorder="0" applyAlignment="0"/>
    <xf xfId="0" fontId="1" numFmtId="164" fillId="7" borderId="0" applyFont="1" applyNumberFormat="1" applyFill="1" applyBorder="0" applyAlignment="0"/>
    <xf xfId="0" fontId="10" numFmtId="0" fillId="0" borderId="0" applyFont="1" applyNumberFormat="0" applyFill="0" applyBorder="0" applyAlignment="0"/>
    <xf xfId="0" fontId="5" numFmtId="0" fillId="10" borderId="0" applyFont="1" applyNumberFormat="0" applyFill="1" applyBorder="0" applyAlignment="1">
      <alignment vertical="center" textRotation="0" wrapText="false" shrinkToFit="false"/>
    </xf>
    <xf xfId="0" fontId="0" numFmtId="0" fillId="11" borderId="0" applyFont="0" applyNumberFormat="0" applyFill="1" applyBorder="0" applyAlignment="0"/>
    <xf xfId="0" fontId="9" numFmtId="0" fillId="11" borderId="0" applyFont="1" applyNumberFormat="0" applyFill="1" applyBorder="0" applyAlignment="1">
      <alignment vertical="top" textRotation="0" wrapText="true" shrinkToFit="false"/>
    </xf>
    <xf xfId="0" fontId="5" numFmtId="0" fillId="12" borderId="0" applyFont="1" applyNumberFormat="0" applyFill="1" applyBorder="0" applyAlignment="1">
      <alignment vertical="center" textRotation="0" wrapText="false" shrinkToFit="false"/>
    </xf>
    <xf xfId="0" fontId="1" numFmtId="0" fillId="9" borderId="2" applyFont="1" applyNumberFormat="0" applyFill="1" applyBorder="1" applyAlignment="1">
      <alignment horizontal="right" vertical="bottom" textRotation="0" wrapText="false" shrinkToFit="false"/>
    </xf>
    <xf xfId="0" fontId="1" numFmtId="0" fillId="9" borderId="2" applyFont="1" applyNumberFormat="0" applyFill="1" applyBorder="1" applyAlignment="0"/>
    <xf xfId="0" fontId="1" numFmtId="164" fillId="9" borderId="2" applyFont="1" applyNumberFormat="1" applyFill="1" applyBorder="1" applyAlignment="0"/>
    <xf xfId="0" fontId="1" numFmtId="0" fillId="7" borderId="2" applyFont="1" applyNumberFormat="0" applyFill="1" applyBorder="1" applyAlignment="1">
      <alignment horizontal="right" vertical="bottom" textRotation="0" wrapText="false" shrinkToFit="false"/>
    </xf>
    <xf xfId="0" fontId="1" numFmtId="0" fillId="7" borderId="2" applyFont="1" applyNumberFormat="0" applyFill="1" applyBorder="1" applyAlignment="0"/>
    <xf xfId="0" fontId="1" numFmtId="164" fillId="7" borderId="2" applyFont="1" applyNumberFormat="1" applyFill="1" applyBorder="1" applyAlignment="0"/>
    <xf xfId="0" fontId="5" numFmtId="0" fillId="13" borderId="0" applyFont="1" applyNumberFormat="0" applyFill="1" applyBorder="0" applyAlignment="1">
      <alignment vertical="center" textRotation="0" wrapText="false" shrinkToFit="false"/>
    </xf>
    <xf xfId="0" fontId="0" numFmtId="0" fillId="14" borderId="0" applyFont="0" applyNumberFormat="0" applyFill="1" applyBorder="0" applyAlignment="0"/>
    <xf xfId="0" fontId="9" numFmtId="0" fillId="14" borderId="0" applyFont="1" applyNumberFormat="0" applyFill="1" applyBorder="0" applyAlignment="1">
      <alignment vertical="top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  <pageSetUpPr fitToPage="1"/>
  </sheetPr>
  <dimension ref="A1:F51"/>
  <sheetViews>
    <sheetView tabSelected="1" workbookViewId="0" showGridLines="true" showRowColHeaders="1">
      <pane ySplit="5" activePane="bottomLeft" state="frozen" topLeftCell="A6"/>
      <selection pane="bottomLeft" activeCell="A51" sqref="A51"/>
    </sheetView>
  </sheetViews>
  <sheetFormatPr defaultRowHeight="14.4" outlineLevelRow="0" outlineLevelCol="0"/>
  <cols>
    <col min="1" max="1" width="52" customWidth="true" style="0"/>
    <col min="2" max="2" width="12" customWidth="true" style="0"/>
    <col min="3" max="3" width="7" customWidth="true" style="0"/>
    <col min="4" max="4" width="16" customWidth="true" style="0"/>
    <col min="5" max="5" width="17" customWidth="true" style="0"/>
    <col min="6" max="6" width="46" customWidth="true" style="0"/>
  </cols>
  <sheetData>
    <row r="1" spans="1:6">
      <c r="A1" s="2" t="s">
        <v>0</v>
      </c>
    </row>
    <row r="2" spans="1:6">
      <c r="A2" s="3" t="s">
        <v>1</v>
      </c>
    </row>
    <row r="3" spans="1:6" customHeight="1" ht="30">
      <c r="A3" s="4" t="s">
        <v>2</v>
      </c>
    </row>
    <row r="4" spans="1:6">
      <c r="A4" s="5" t="s">
        <v>3</v>
      </c>
    </row>
    <row r="6" spans="1:6" customHeight="1" ht="22">
      <c r="A6" s="6" t="s">
        <v>4</v>
      </c>
      <c r="B6" s="6"/>
      <c r="C6" s="6"/>
      <c r="D6" s="6"/>
      <c r="E6" s="6"/>
      <c r="F6" s="6"/>
    </row>
    <row r="7" spans="1:6">
      <c r="A7" s="7" t="s">
        <v>5</v>
      </c>
      <c r="B7" s="7" t="s">
        <v>6</v>
      </c>
      <c r="C7" s="7" t="s">
        <v>7</v>
      </c>
      <c r="D7" s="7" t="s">
        <v>8</v>
      </c>
      <c r="E7" s="7" t="s">
        <v>9</v>
      </c>
      <c r="F7" s="7" t="s">
        <v>10</v>
      </c>
    </row>
    <row r="8" spans="1:6">
      <c r="A8" t="s">
        <v>11</v>
      </c>
      <c r="B8" t="s">
        <v>12</v>
      </c>
      <c r="C8" s="10">
        <v>1</v>
      </c>
      <c r="D8" s="11">
        <v>750000</v>
      </c>
      <c r="E8" s="8">
        <f>C8*D8</f>
        <v>750000</v>
      </c>
      <c r="F8" s="14" t="s">
        <v>13</v>
      </c>
    </row>
    <row r="9" spans="1:6">
      <c r="A9" t="s">
        <v>14</v>
      </c>
      <c r="B9" t="s">
        <v>12</v>
      </c>
      <c r="C9" s="10">
        <v>1</v>
      </c>
      <c r="D9" s="11">
        <v>1000000</v>
      </c>
      <c r="E9" s="8">
        <f>C9*D9</f>
        <v>1000000</v>
      </c>
      <c r="F9" s="14" t="s">
        <v>15</v>
      </c>
    </row>
    <row r="10" spans="1:6">
      <c r="A10" t="s">
        <v>16</v>
      </c>
      <c r="B10" t="s">
        <v>17</v>
      </c>
      <c r="C10" s="10">
        <v>2</v>
      </c>
      <c r="D10" s="11">
        <v>625000</v>
      </c>
      <c r="E10" s="8">
        <f>C10*D10</f>
        <v>1250000</v>
      </c>
      <c r="F10" s="14" t="s">
        <v>18</v>
      </c>
    </row>
    <row r="11" spans="1:6">
      <c r="A11" t="s">
        <v>19</v>
      </c>
      <c r="B11" t="s">
        <v>12</v>
      </c>
      <c r="C11" s="10">
        <v>1</v>
      </c>
      <c r="D11" s="11">
        <v>1000000</v>
      </c>
      <c r="E11" s="8">
        <f>C11*D11</f>
        <v>1000000</v>
      </c>
      <c r="F11" s="14" t="s">
        <v>20</v>
      </c>
    </row>
    <row r="12" spans="1:6">
      <c r="A12" s="15" t="s">
        <v>21</v>
      </c>
      <c r="B12" s="16"/>
      <c r="C12" s="16"/>
      <c r="D12" s="16"/>
      <c r="E12" s="17">
        <f>SUM(E8:E11)</f>
        <v>4000000</v>
      </c>
      <c r="F12" s="16"/>
    </row>
    <row r="14" spans="1:6" customHeight="1" ht="22">
      <c r="A14" s="6" t="s">
        <v>22</v>
      </c>
      <c r="B14" s="6"/>
      <c r="C14" s="6"/>
      <c r="D14" s="6"/>
      <c r="E14" s="6"/>
      <c r="F14" s="6"/>
    </row>
    <row r="15" spans="1:6">
      <c r="A15" s="7" t="s">
        <v>5</v>
      </c>
      <c r="B15" s="7" t="s">
        <v>6</v>
      </c>
      <c r="C15" s="7" t="s">
        <v>7</v>
      </c>
      <c r="D15" s="7" t="s">
        <v>8</v>
      </c>
      <c r="E15" s="7" t="s">
        <v>9</v>
      </c>
      <c r="F15" s="7" t="s">
        <v>10</v>
      </c>
    </row>
    <row r="16" spans="1:6">
      <c r="A16" t="s">
        <v>23</v>
      </c>
      <c r="B16" t="s">
        <v>24</v>
      </c>
      <c r="C16" s="10">
        <v>1</v>
      </c>
      <c r="D16" s="11">
        <v>350000</v>
      </c>
      <c r="E16" s="8">
        <f>C16*D16</f>
        <v>350000</v>
      </c>
      <c r="F16" s="14" t="s">
        <v>25</v>
      </c>
    </row>
    <row r="17" spans="1:6">
      <c r="A17" t="s">
        <v>26</v>
      </c>
      <c r="B17" t="s">
        <v>24</v>
      </c>
      <c r="C17" s="10">
        <v>1</v>
      </c>
      <c r="D17" s="11">
        <v>100000</v>
      </c>
      <c r="E17" s="8">
        <f>C17*D17</f>
        <v>100000</v>
      </c>
      <c r="F17" s="14" t="s">
        <v>27</v>
      </c>
    </row>
    <row r="18" spans="1:6">
      <c r="A18" t="s">
        <v>28</v>
      </c>
      <c r="B18" t="s">
        <v>24</v>
      </c>
      <c r="C18" s="10">
        <v>1</v>
      </c>
      <c r="D18" s="11">
        <v>0</v>
      </c>
      <c r="E18" s="8">
        <f>C18*D18</f>
        <v>0</v>
      </c>
      <c r="F18" s="14" t="s">
        <v>29</v>
      </c>
    </row>
    <row r="19" spans="1:6">
      <c r="A19" t="s">
        <v>30</v>
      </c>
      <c r="B19" t="s">
        <v>24</v>
      </c>
      <c r="C19" s="10">
        <v>1</v>
      </c>
      <c r="D19" s="11">
        <v>0</v>
      </c>
      <c r="E19" s="8">
        <f>C19*D19</f>
        <v>0</v>
      </c>
      <c r="F19" s="14" t="s">
        <v>31</v>
      </c>
    </row>
    <row r="20" spans="1:6">
      <c r="A20" s="15" t="s">
        <v>32</v>
      </c>
      <c r="B20" s="16"/>
      <c r="C20" s="16"/>
      <c r="D20" s="16"/>
      <c r="E20" s="17">
        <f>SUM(E16:E19)</f>
        <v>450000</v>
      </c>
      <c r="F20" s="16"/>
    </row>
    <row r="22" spans="1:6" customHeight="1" ht="22">
      <c r="A22" s="6" t="s">
        <v>33</v>
      </c>
      <c r="B22" s="6"/>
      <c r="C22" s="6"/>
      <c r="D22" s="6"/>
      <c r="E22" s="6"/>
      <c r="F22" s="6"/>
    </row>
    <row r="23" spans="1:6">
      <c r="A23" s="7" t="s">
        <v>5</v>
      </c>
      <c r="B23" s="7" t="s">
        <v>34</v>
      </c>
      <c r="C23" s="7" t="s">
        <v>35</v>
      </c>
      <c r="D23" s="7" t="s">
        <v>36</v>
      </c>
      <c r="E23" s="7" t="s">
        <v>37</v>
      </c>
      <c r="F23" s="7" t="s">
        <v>10</v>
      </c>
    </row>
    <row r="24" spans="1:6">
      <c r="A24" t="s">
        <v>38</v>
      </c>
      <c r="B24" s="10">
        <v>1</v>
      </c>
      <c r="C24" s="18">
        <v>0</v>
      </c>
      <c r="D24" s="8">
        <f>ROUND($E$20*(1-C24/100),0)</f>
        <v>450000</v>
      </c>
      <c r="E24" s="8">
        <f>D24*B24</f>
        <v>450000</v>
      </c>
      <c r="F24" s="13" t="s">
        <v>39</v>
      </c>
    </row>
    <row r="25" spans="1:6">
      <c r="A25" t="s">
        <v>40</v>
      </c>
      <c r="B25" s="10">
        <v>12</v>
      </c>
      <c r="C25" s="18">
        <v>10</v>
      </c>
      <c r="D25" s="8">
        <f>ROUND($E$20*(1-C25/100),0)</f>
        <v>405000</v>
      </c>
      <c r="E25" s="8">
        <f>D25*B25</f>
        <v>4860000</v>
      </c>
      <c r="F25" s="13" t="s">
        <v>41</v>
      </c>
    </row>
    <row r="26" spans="1:6">
      <c r="A26" s="20" t="s">
        <v>42</v>
      </c>
      <c r="B26" s="21">
        <v>24</v>
      </c>
      <c r="C26" s="22">
        <v>20</v>
      </c>
      <c r="D26" s="23">
        <f>ROUND($E$20*(1-C26/100),0)</f>
        <v>360000</v>
      </c>
      <c r="E26" s="23">
        <f>D26*B26</f>
        <v>8640000</v>
      </c>
      <c r="F26" s="24" t="s">
        <v>43</v>
      </c>
    </row>
    <row r="28" spans="1:6">
      <c r="A28" s="25" t="s">
        <v>44</v>
      </c>
      <c r="B28" s="19"/>
      <c r="C28" s="19"/>
      <c r="D28" s="19"/>
      <c r="E28" s="19"/>
      <c r="F28" s="19"/>
    </row>
    <row r="30" spans="1:6" customHeight="1" ht="22">
      <c r="A30" s="6" t="s">
        <v>45</v>
      </c>
      <c r="B30" s="6"/>
      <c r="C30" s="6"/>
      <c r="D30" s="6"/>
      <c r="E30" s="6"/>
      <c r="F30" s="6"/>
    </row>
    <row r="31" spans="1:6">
      <c r="A31" s="7" t="s">
        <v>5</v>
      </c>
      <c r="B31" s="7" t="s">
        <v>6</v>
      </c>
      <c r="C31" s="7" t="s">
        <v>7</v>
      </c>
      <c r="D31" s="7" t="s">
        <v>8</v>
      </c>
      <c r="E31" s="7" t="s">
        <v>9</v>
      </c>
      <c r="F31" s="7" t="s">
        <v>10</v>
      </c>
    </row>
    <row r="32" spans="1:6">
      <c r="A32" t="s">
        <v>46</v>
      </c>
      <c r="B32" t="s">
        <v>47</v>
      </c>
      <c r="C32" s="10">
        <v>1</v>
      </c>
      <c r="D32" s="11">
        <v>1500000</v>
      </c>
      <c r="E32" s="8">
        <f>C32*D32</f>
        <v>1500000</v>
      </c>
      <c r="F32" s="14" t="s">
        <v>48</v>
      </c>
    </row>
    <row r="33" spans="1:6">
      <c r="A33" t="s">
        <v>49</v>
      </c>
      <c r="B33" t="s">
        <v>24</v>
      </c>
      <c r="C33" s="10">
        <v>1</v>
      </c>
      <c r="D33" s="11">
        <v>150000</v>
      </c>
      <c r="E33" s="8">
        <f>C33*D33</f>
        <v>150000</v>
      </c>
      <c r="F33" s="14" t="s">
        <v>50</v>
      </c>
    </row>
    <row r="35" spans="1:6">
      <c r="A35" s="27" t="s">
        <v>51</v>
      </c>
      <c r="B35" s="26"/>
      <c r="C35" s="26"/>
      <c r="D35" s="26"/>
      <c r="E35" s="26"/>
      <c r="F35" s="26"/>
    </row>
    <row r="37" spans="1:6" customHeight="1" ht="22">
      <c r="A37" s="28" t="s">
        <v>52</v>
      </c>
      <c r="B37" s="28"/>
      <c r="C37" s="28"/>
      <c r="D37" s="28"/>
      <c r="E37" s="28"/>
      <c r="F37" s="28"/>
    </row>
    <row r="38" spans="1:6">
      <c r="A38" s="7" t="s">
        <v>5</v>
      </c>
      <c r="B38" s="7" t="s">
        <v>6</v>
      </c>
      <c r="C38" s="7" t="s">
        <v>7</v>
      </c>
      <c r="D38" s="7" t="s">
        <v>8</v>
      </c>
      <c r="E38" s="7" t="s">
        <v>9</v>
      </c>
      <c r="F38" s="7" t="s">
        <v>10</v>
      </c>
    </row>
    <row r="39" spans="1:6">
      <c r="A39" t="s">
        <v>53</v>
      </c>
      <c r="B39" t="s">
        <v>54</v>
      </c>
      <c r="C39" s="10">
        <v>0</v>
      </c>
      <c r="D39" s="11">
        <v>0</v>
      </c>
      <c r="E39" s="8">
        <f>C39*D39</f>
        <v>0</v>
      </c>
      <c r="F39" s="14" t="s">
        <v>55</v>
      </c>
    </row>
    <row r="40" spans="1:6">
      <c r="A40" t="s">
        <v>56</v>
      </c>
      <c r="B40" t="s">
        <v>57</v>
      </c>
      <c r="C40" s="10">
        <v>5</v>
      </c>
      <c r="D40" s="11">
        <v>0</v>
      </c>
      <c r="E40" s="8">
        <f>C40*D40</f>
        <v>0</v>
      </c>
      <c r="F40" s="14" t="s">
        <v>58</v>
      </c>
    </row>
    <row r="42" spans="1:6" customHeight="1" ht="96">
      <c r="A42" s="30" t="s">
        <v>59</v>
      </c>
      <c r="B42" s="29"/>
      <c r="C42" s="29"/>
      <c r="D42" s="29"/>
      <c r="E42" s="29"/>
      <c r="F42" s="29"/>
    </row>
    <row r="44" spans="1:6" customHeight="1" ht="22">
      <c r="A44" s="6" t="s">
        <v>60</v>
      </c>
      <c r="B44" s="6"/>
      <c r="C44" s="6"/>
      <c r="D44" s="6"/>
      <c r="E44" s="6"/>
      <c r="F44" s="6"/>
    </row>
    <row r="45" spans="1:6">
      <c r="A45" s="7" t="s">
        <v>5</v>
      </c>
      <c r="B45" s="7" t="s">
        <v>6</v>
      </c>
      <c r="C45" s="7" t="s">
        <v>7</v>
      </c>
      <c r="D45" s="7" t="s">
        <v>8</v>
      </c>
      <c r="E45" s="7" t="s">
        <v>9</v>
      </c>
      <c r="F45" s="7" t="s">
        <v>10</v>
      </c>
    </row>
    <row r="46" spans="1:6">
      <c r="A46" t="s">
        <v>61</v>
      </c>
      <c r="E46" s="8">
        <f>E12</f>
        <v>4000000</v>
      </c>
    </row>
    <row r="47" spans="1:6">
      <c r="A47" t="s">
        <v>62</v>
      </c>
      <c r="E47" s="8">
        <f>E25</f>
        <v>4860000</v>
      </c>
    </row>
    <row r="48" spans="1:6">
      <c r="A48" s="31" t="s">
        <v>63</v>
      </c>
      <c r="B48" s="32"/>
      <c r="C48" s="32"/>
      <c r="D48" s="32"/>
      <c r="E48" s="33">
        <f>E46+E47</f>
        <v>8860000</v>
      </c>
      <c r="F48" s="32"/>
    </row>
    <row r="49" spans="1:6">
      <c r="A49" s="36" t="s">
        <v>64</v>
      </c>
      <c r="B49" s="37"/>
      <c r="C49" s="37"/>
      <c r="D49" s="37"/>
      <c r="E49" s="38">
        <f>E12+E26</f>
        <v>12640000</v>
      </c>
      <c r="F49" s="37"/>
    </row>
    <row r="51" spans="1:6">
      <c r="A51" s="27" t="s">
        <v>65</v>
      </c>
      <c r="B51" s="26"/>
      <c r="C51" s="26"/>
      <c r="D51" s="26"/>
      <c r="E51" s="26"/>
      <c r="F51" s="26"/>
    </row>
  </sheetData>
  <mergeCells>
    <mergeCell ref="A1:F1"/>
    <mergeCell ref="A2:F2"/>
    <mergeCell ref="A3:F3"/>
    <mergeCell ref="A4:F4"/>
    <mergeCell ref="A6:F6"/>
    <mergeCell ref="A12:D12"/>
    <mergeCell ref="A14:F14"/>
    <mergeCell ref="A20:D20"/>
    <mergeCell ref="A22:F22"/>
    <mergeCell ref="A28:F28"/>
    <mergeCell ref="A30:F30"/>
    <mergeCell ref="A35:F35"/>
    <mergeCell ref="A37:F37"/>
    <mergeCell ref="A42:F42"/>
    <mergeCell ref="A44:F44"/>
    <mergeCell ref="A48:D48"/>
    <mergeCell ref="A49:D49"/>
    <mergeCell ref="A51:F51"/>
  </mergeCells>
  <printOptions gridLines="false" gridLinesSet="true"/>
  <pageMargins left="0.7" right="0.7" top="0.75" bottom="0.75" header="0.3" footer="0.3"/>
  <pageSetup paperSize="1" orientation="landscape" scale="100" fitToHeight="0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  <pageSetUpPr fitToPage="1"/>
  </sheetPr>
  <dimension ref="A1:F72"/>
  <sheetViews>
    <sheetView tabSelected="0" workbookViewId="0" showGridLines="true" showRowColHeaders="1">
      <pane ySplit="5" activePane="bottomLeft" state="frozen" topLeftCell="A6"/>
      <selection pane="bottomLeft" activeCell="A72" sqref="A72"/>
    </sheetView>
  </sheetViews>
  <sheetFormatPr defaultRowHeight="14.4" outlineLevelRow="0" outlineLevelCol="0"/>
  <cols>
    <col min="1" max="1" width="52" customWidth="true" style="0"/>
    <col min="2" max="2" width="12" customWidth="true" style="0"/>
    <col min="3" max="3" width="7" customWidth="true" style="0"/>
    <col min="4" max="4" width="16" customWidth="true" style="0"/>
    <col min="5" max="5" width="17" customWidth="true" style="0"/>
    <col min="6" max="6" width="46" customWidth="true" style="0"/>
  </cols>
  <sheetData>
    <row r="1" spans="1:6">
      <c r="A1" s="39" t="s">
        <v>66</v>
      </c>
    </row>
    <row r="2" spans="1:6">
      <c r="A2" s="3" t="s">
        <v>1</v>
      </c>
    </row>
    <row r="3" spans="1:6" customHeight="1" ht="30">
      <c r="A3" s="4" t="s">
        <v>67</v>
      </c>
    </row>
    <row r="4" spans="1:6">
      <c r="A4" s="5" t="s">
        <v>3</v>
      </c>
    </row>
    <row r="6" spans="1:6" customHeight="1" ht="22">
      <c r="A6" s="40" t="s">
        <v>68</v>
      </c>
      <c r="B6" s="40"/>
      <c r="C6" s="40"/>
      <c r="D6" s="40"/>
      <c r="E6" s="40"/>
      <c r="F6" s="40"/>
    </row>
    <row r="7" spans="1:6">
      <c r="A7" s="7" t="s">
        <v>5</v>
      </c>
      <c r="B7" s="7" t="s">
        <v>6</v>
      </c>
      <c r="C7" s="7" t="s">
        <v>7</v>
      </c>
      <c r="D7" s="7" t="s">
        <v>8</v>
      </c>
      <c r="E7" s="7" t="s">
        <v>9</v>
      </c>
      <c r="F7" s="7" t="s">
        <v>10</v>
      </c>
    </row>
    <row r="8" spans="1:6">
      <c r="A8" t="s">
        <v>69</v>
      </c>
      <c r="B8" t="s">
        <v>70</v>
      </c>
      <c r="C8" s="10">
        <v>1</v>
      </c>
      <c r="D8" s="11">
        <v>48000000</v>
      </c>
      <c r="E8" s="8">
        <f>C8*D8</f>
        <v>48000000</v>
      </c>
      <c r="F8" s="14" t="s">
        <v>71</v>
      </c>
    </row>
    <row r="9" spans="1:6">
      <c r="A9" t="s">
        <v>72</v>
      </c>
      <c r="B9" t="s">
        <v>70</v>
      </c>
      <c r="C9" s="10">
        <v>1</v>
      </c>
      <c r="D9" s="11">
        <v>95000000</v>
      </c>
      <c r="E9" s="8">
        <f>C9*D9</f>
        <v>95000000</v>
      </c>
      <c r="F9" s="14" t="s">
        <v>73</v>
      </c>
    </row>
    <row r="11" spans="1:6" customHeight="1" ht="42">
      <c r="A11" s="42" t="s">
        <v>74</v>
      </c>
      <c r="B11" s="41"/>
      <c r="C11" s="41"/>
      <c r="D11" s="41"/>
      <c r="E11" s="41"/>
      <c r="F11" s="41"/>
    </row>
    <row r="13" spans="1:6" customHeight="1" ht="22">
      <c r="A13" s="40" t="s">
        <v>75</v>
      </c>
      <c r="B13" s="40"/>
      <c r="C13" s="40"/>
      <c r="D13" s="40"/>
      <c r="E13" s="40"/>
      <c r="F13" s="40"/>
    </row>
    <row r="14" spans="1:6">
      <c r="A14" s="7" t="s">
        <v>5</v>
      </c>
      <c r="B14" s="7" t="s">
        <v>6</v>
      </c>
      <c r="C14" s="7" t="s">
        <v>7</v>
      </c>
      <c r="D14" s="7" t="s">
        <v>8</v>
      </c>
      <c r="E14" s="7" t="s">
        <v>9</v>
      </c>
      <c r="F14" s="7" t="s">
        <v>10</v>
      </c>
    </row>
    <row r="15" spans="1:6">
      <c r="A15" t="s">
        <v>76</v>
      </c>
      <c r="B15" t="s">
        <v>77</v>
      </c>
      <c r="C15" s="10">
        <v>1</v>
      </c>
      <c r="D15" s="11">
        <v>0</v>
      </c>
      <c r="E15" s="8">
        <f>C15*D15</f>
        <v>0</v>
      </c>
      <c r="F15" s="14" t="s">
        <v>78</v>
      </c>
    </row>
    <row r="16" spans="1:6">
      <c r="A16" t="s">
        <v>79</v>
      </c>
      <c r="B16" t="s">
        <v>70</v>
      </c>
      <c r="C16" s="10">
        <v>1</v>
      </c>
      <c r="D16" s="11">
        <v>18000000</v>
      </c>
      <c r="E16" s="8">
        <f>C16*D16</f>
        <v>18000000</v>
      </c>
      <c r="F16" s="14" t="s">
        <v>80</v>
      </c>
    </row>
    <row r="17" spans="1:6">
      <c r="A17" t="s">
        <v>81</v>
      </c>
      <c r="B17" t="s">
        <v>12</v>
      </c>
      <c r="C17" s="10">
        <v>0</v>
      </c>
      <c r="D17" s="11">
        <v>0</v>
      </c>
      <c r="E17" s="8">
        <f>C17*D17</f>
        <v>0</v>
      </c>
      <c r="F17" s="14" t="s">
        <v>82</v>
      </c>
    </row>
    <row r="19" spans="1:6" customHeight="1" ht="22">
      <c r="A19" s="40" t="s">
        <v>83</v>
      </c>
      <c r="B19" s="40"/>
      <c r="C19" s="40"/>
      <c r="D19" s="40"/>
      <c r="E19" s="40"/>
      <c r="F19" s="40"/>
    </row>
    <row r="20" spans="1:6">
      <c r="A20" s="7" t="s">
        <v>5</v>
      </c>
      <c r="B20" s="7" t="s">
        <v>6</v>
      </c>
      <c r="C20" s="7" t="s">
        <v>84</v>
      </c>
      <c r="D20" s="7" t="s">
        <v>85</v>
      </c>
      <c r="E20" s="7" t="s">
        <v>9</v>
      </c>
      <c r="F20" s="7" t="s">
        <v>10</v>
      </c>
    </row>
    <row r="21" spans="1:6">
      <c r="A21" t="s">
        <v>86</v>
      </c>
      <c r="B21" t="s">
        <v>87</v>
      </c>
      <c r="C21" s="18">
        <v>15</v>
      </c>
      <c r="D21" s="8">
        <f>E8</f>
        <v>48000000</v>
      </c>
      <c r="E21" s="8">
        <f>ROUND(D21*C21/100,0)</f>
        <v>7200000</v>
      </c>
      <c r="F21" s="13" t="s">
        <v>88</v>
      </c>
    </row>
    <row r="22" spans="1:6">
      <c r="A22" t="s">
        <v>89</v>
      </c>
      <c r="B22" t="s">
        <v>87</v>
      </c>
      <c r="C22" s="18">
        <v>22</v>
      </c>
      <c r="D22" s="8">
        <f>E8</f>
        <v>48000000</v>
      </c>
      <c r="E22" s="8">
        <f>ROUND(D22*C22/100,0)</f>
        <v>10560000</v>
      </c>
      <c r="F22" s="13" t="s">
        <v>90</v>
      </c>
    </row>
    <row r="23" spans="1:6">
      <c r="A23" t="s">
        <v>91</v>
      </c>
      <c r="B23" t="s">
        <v>87</v>
      </c>
      <c r="C23" s="18">
        <v>0</v>
      </c>
      <c r="D23" s="8">
        <v>0</v>
      </c>
      <c r="E23" s="8">
        <v>0</v>
      </c>
      <c r="F23" s="13" t="s">
        <v>92</v>
      </c>
    </row>
    <row r="25" spans="1:6" customHeight="1" ht="22">
      <c r="A25" s="43" t="s">
        <v>93</v>
      </c>
      <c r="B25" s="43"/>
      <c r="C25" s="43"/>
      <c r="D25" s="43"/>
      <c r="E25" s="43"/>
      <c r="F25" s="43"/>
    </row>
    <row r="26" spans="1:6" customHeight="1" ht="84">
      <c r="A26" s="30" t="s">
        <v>94</v>
      </c>
      <c r="B26" s="29"/>
      <c r="C26" s="29"/>
      <c r="D26" s="29"/>
      <c r="E26" s="29"/>
      <c r="F26" s="29"/>
    </row>
    <row r="28" spans="1:6">
      <c r="A28" s="7" t="s">
        <v>5</v>
      </c>
      <c r="B28" s="7" t="s">
        <v>6</v>
      </c>
      <c r="C28" s="7" t="s">
        <v>7</v>
      </c>
      <c r="D28" s="7" t="s">
        <v>8</v>
      </c>
      <c r="E28" s="7" t="s">
        <v>9</v>
      </c>
      <c r="F28" s="7" t="s">
        <v>10</v>
      </c>
    </row>
    <row r="29" spans="1:6">
      <c r="A29" t="s">
        <v>95</v>
      </c>
      <c r="B29" t="s">
        <v>24</v>
      </c>
      <c r="C29" s="10">
        <v>12</v>
      </c>
      <c r="D29" s="11">
        <v>450000</v>
      </c>
      <c r="E29" s="8">
        <f>C29*D29</f>
        <v>5400000</v>
      </c>
      <c r="F29" s="14" t="s">
        <v>96</v>
      </c>
    </row>
    <row r="30" spans="1:6">
      <c r="A30" t="s">
        <v>97</v>
      </c>
      <c r="B30" t="s">
        <v>12</v>
      </c>
      <c r="C30" s="10">
        <v>1</v>
      </c>
      <c r="D30" s="11">
        <v>3500000</v>
      </c>
      <c r="E30" s="8">
        <f>C30*D30</f>
        <v>3500000</v>
      </c>
      <c r="F30" s="14" t="s">
        <v>98</v>
      </c>
    </row>
    <row r="31" spans="1:6">
      <c r="A31" s="15" t="s">
        <v>99</v>
      </c>
      <c r="B31" s="16"/>
      <c r="C31" s="16"/>
      <c r="D31" s="16"/>
      <c r="E31" s="17">
        <f>SUM(E29:E30)</f>
        <v>8900000</v>
      </c>
      <c r="F31" s="16"/>
    </row>
    <row r="33" spans="1:6">
      <c r="A33" s="7" t="s">
        <v>5</v>
      </c>
      <c r="B33" s="7" t="s">
        <v>6</v>
      </c>
      <c r="C33" s="7" t="s">
        <v>7</v>
      </c>
      <c r="D33" s="7" t="s">
        <v>8</v>
      </c>
      <c r="E33" s="7" t="s">
        <v>9</v>
      </c>
      <c r="F33" s="7" t="s">
        <v>10</v>
      </c>
    </row>
    <row r="34" spans="1:6">
      <c r="A34" t="s">
        <v>100</v>
      </c>
      <c r="B34" t="s">
        <v>87</v>
      </c>
      <c r="C34" s="10">
        <v>1</v>
      </c>
      <c r="D34" s="11">
        <v>1500000</v>
      </c>
      <c r="E34" s="8">
        <f>C34*D34</f>
        <v>1500000</v>
      </c>
      <c r="F34" s="14" t="s">
        <v>101</v>
      </c>
    </row>
    <row r="35" spans="1:6">
      <c r="A35" t="s">
        <v>102</v>
      </c>
      <c r="B35" t="s">
        <v>12</v>
      </c>
      <c r="C35" s="10">
        <v>1</v>
      </c>
      <c r="D35" s="11">
        <v>7500000</v>
      </c>
      <c r="E35" s="8">
        <f>C35*D35</f>
        <v>7500000</v>
      </c>
      <c r="F35" s="14" t="s">
        <v>103</v>
      </c>
    </row>
    <row r="36" spans="1:6">
      <c r="A36" t="s">
        <v>104</v>
      </c>
      <c r="B36" t="s">
        <v>12</v>
      </c>
      <c r="C36" s="10">
        <v>1</v>
      </c>
      <c r="D36" s="11">
        <v>6000000</v>
      </c>
      <c r="E36" s="8">
        <f>C36*D36</f>
        <v>6000000</v>
      </c>
      <c r="F36" s="14" t="s">
        <v>105</v>
      </c>
    </row>
    <row r="37" spans="1:6">
      <c r="A37" s="44" t="s">
        <v>106</v>
      </c>
      <c r="B37" s="45"/>
      <c r="C37" s="45"/>
      <c r="D37" s="45"/>
      <c r="E37" s="46">
        <f>SUM(E34:E36)</f>
        <v>15000000</v>
      </c>
      <c r="F37" s="45"/>
    </row>
    <row r="38" spans="1:6" customHeight="1" ht="42">
      <c r="A38" s="42" t="s">
        <v>107</v>
      </c>
      <c r="B38" s="41"/>
      <c r="C38" s="41"/>
      <c r="D38" s="41"/>
      <c r="E38" s="41"/>
      <c r="F38" s="41"/>
    </row>
    <row r="41" spans="1:6" customHeight="1" ht="22">
      <c r="A41" s="40" t="s">
        <v>108</v>
      </c>
      <c r="B41" s="40"/>
      <c r="C41" s="40"/>
      <c r="D41" s="40"/>
      <c r="E41" s="40"/>
      <c r="F41" s="40"/>
    </row>
    <row r="42" spans="1:6">
      <c r="A42" s="7" t="s">
        <v>5</v>
      </c>
      <c r="B42" s="7" t="s">
        <v>6</v>
      </c>
      <c r="C42" s="7" t="s">
        <v>7</v>
      </c>
      <c r="D42" s="7" t="s">
        <v>8</v>
      </c>
      <c r="E42" s="7" t="s">
        <v>9</v>
      </c>
      <c r="F42" s="7" t="s">
        <v>10</v>
      </c>
    </row>
    <row r="43" spans="1:6">
      <c r="A43" t="s">
        <v>109</v>
      </c>
      <c r="B43" t="s">
        <v>12</v>
      </c>
      <c r="C43" s="10">
        <v>1</v>
      </c>
      <c r="D43" s="11">
        <v>6500000</v>
      </c>
      <c r="E43" s="8">
        <f>C43*D43</f>
        <v>6500000</v>
      </c>
      <c r="F43" s="14" t="s">
        <v>110</v>
      </c>
    </row>
    <row r="44" spans="1:6">
      <c r="A44" t="s">
        <v>111</v>
      </c>
      <c r="B44" t="s">
        <v>87</v>
      </c>
      <c r="C44" s="10">
        <v>1</v>
      </c>
      <c r="D44" s="11">
        <v>350000</v>
      </c>
      <c r="E44" s="8">
        <f>C44*D44</f>
        <v>350000</v>
      </c>
      <c r="F44" s="14" t="s">
        <v>112</v>
      </c>
    </row>
    <row r="45" spans="1:6">
      <c r="A45" s="15" t="s">
        <v>113</v>
      </c>
      <c r="B45" s="16"/>
      <c r="C45" s="16"/>
      <c r="D45" s="16"/>
      <c r="E45" s="17">
        <f>SUM(E43:E44)</f>
        <v>6850000</v>
      </c>
      <c r="F45" s="16"/>
    </row>
    <row r="46" spans="1:6" customHeight="1" ht="42">
      <c r="A46" s="27" t="s">
        <v>114</v>
      </c>
      <c r="B46" s="26"/>
      <c r="C46" s="26"/>
      <c r="D46" s="26"/>
      <c r="E46" s="26"/>
      <c r="F46" s="26"/>
    </row>
    <row r="49" spans="1:6" customHeight="1" ht="22">
      <c r="A49" s="6" t="s">
        <v>115</v>
      </c>
      <c r="B49" s="6"/>
      <c r="C49" s="6"/>
      <c r="D49" s="6"/>
      <c r="E49" s="6"/>
      <c r="F49" s="6"/>
    </row>
    <row r="50" spans="1:6">
      <c r="A50" s="7" t="s">
        <v>5</v>
      </c>
      <c r="B50" s="7" t="s">
        <v>6</v>
      </c>
      <c r="C50" s="7" t="s">
        <v>7</v>
      </c>
      <c r="D50" s="7" t="s">
        <v>8</v>
      </c>
      <c r="E50" s="7" t="s">
        <v>9</v>
      </c>
      <c r="F50" s="7" t="s">
        <v>10</v>
      </c>
    </row>
    <row r="51" spans="1:6">
      <c r="A51" t="s">
        <v>116</v>
      </c>
      <c r="E51" s="8">
        <f>E8</f>
        <v>48000000</v>
      </c>
    </row>
    <row r="52" spans="1:6">
      <c r="A52" t="s">
        <v>117</v>
      </c>
      <c r="E52" s="8">
        <f>E31</f>
        <v>8900000</v>
      </c>
    </row>
    <row r="53" spans="1:6">
      <c r="A53" t="s">
        <v>118</v>
      </c>
      <c r="E53" s="8">
        <f>ROUND(E8*0.15,0)</f>
        <v>7200000</v>
      </c>
    </row>
    <row r="54" spans="1:6">
      <c r="A54" s="47" t="s">
        <v>119</v>
      </c>
      <c r="B54" s="48"/>
      <c r="C54" s="48"/>
      <c r="D54" s="48"/>
      <c r="E54" s="49">
        <f>E51+E52</f>
        <v>56900000</v>
      </c>
      <c r="F54" s="48"/>
    </row>
    <row r="55" spans="1:6">
      <c r="A55" s="35" t="s">
        <v>120</v>
      </c>
      <c r="B55" s="1"/>
      <c r="C55" s="1"/>
      <c r="D55" s="1"/>
      <c r="E55" s="34">
        <f>E45</f>
        <v>6850000</v>
      </c>
      <c r="F55" s="1"/>
    </row>
    <row r="57" spans="1:6" customHeight="1" ht="22">
      <c r="A57" s="50" t="s">
        <v>121</v>
      </c>
      <c r="B57" s="50"/>
      <c r="C57" s="50"/>
      <c r="D57" s="50"/>
      <c r="E57" s="50"/>
      <c r="F57" s="50"/>
    </row>
    <row r="58" spans="1:6">
      <c r="A58" s="7" t="s">
        <v>5</v>
      </c>
      <c r="B58" s="7" t="s">
        <v>122</v>
      </c>
      <c r="C58" s="7" t="s">
        <v>123</v>
      </c>
      <c r="D58" s="7" t="s">
        <v>124</v>
      </c>
      <c r="E58" s="7" t="s">
        <v>125</v>
      </c>
      <c r="F58" s="7" t="s">
        <v>10</v>
      </c>
    </row>
    <row r="59" spans="1:6">
      <c r="A59" t="s">
        <v>126</v>
      </c>
      <c r="B59" s="9">
        <v>1</v>
      </c>
      <c r="C59" s="8">
        <v>8320000.0</v>
      </c>
      <c r="D59" s="8">
        <v>56900000.0</v>
      </c>
      <c r="E59" s="8">
        <v>56900000.0</v>
      </c>
      <c r="F59" s="12" t="s">
        <v>127</v>
      </c>
    </row>
    <row r="60" spans="1:6">
      <c r="A60" t="s">
        <v>128</v>
      </c>
      <c r="B60" s="9">
        <v>2</v>
      </c>
      <c r="C60" s="8">
        <v>12640000.0</v>
      </c>
      <c r="D60" s="8">
        <v>69500000.0</v>
      </c>
      <c r="E60" s="8">
        <v>62300000.0</v>
      </c>
      <c r="F60" s="12"/>
    </row>
    <row r="61" spans="1:6">
      <c r="A61" t="s">
        <v>129</v>
      </c>
      <c r="B61" s="9">
        <v>3</v>
      </c>
      <c r="C61" s="8">
        <v>16960000.0</v>
      </c>
      <c r="D61" s="8">
        <v>82100000.0</v>
      </c>
      <c r="E61" s="8">
        <v>67700000.0</v>
      </c>
      <c r="F61" s="12"/>
    </row>
    <row r="62" spans="1:6">
      <c r="A62" t="s">
        <v>130</v>
      </c>
      <c r="B62" s="9">
        <v>4</v>
      </c>
      <c r="C62" s="8">
        <v>21280000.0</v>
      </c>
      <c r="D62" s="8">
        <v>94700000.0</v>
      </c>
      <c r="E62" s="8">
        <v>73100000.0</v>
      </c>
      <c r="F62" s="12"/>
    </row>
    <row r="63" spans="1:6">
      <c r="A63" t="s">
        <v>131</v>
      </c>
      <c r="B63" s="9">
        <v>5</v>
      </c>
      <c r="C63" s="8">
        <v>25600000.0</v>
      </c>
      <c r="D63" s="8">
        <v>107300000.0</v>
      </c>
      <c r="E63" s="8">
        <v>78500000.0</v>
      </c>
      <c r="F63" s="12"/>
    </row>
    <row r="64" spans="1:6">
      <c r="A64" t="s">
        <v>132</v>
      </c>
      <c r="B64" s="9">
        <v>6</v>
      </c>
      <c r="C64" s="8">
        <v>29920000.0</v>
      </c>
      <c r="D64" s="8">
        <v>119900000.0</v>
      </c>
      <c r="E64" s="8">
        <v>83900000.0</v>
      </c>
      <c r="F64" s="12"/>
    </row>
    <row r="65" spans="1:6">
      <c r="A65" t="s">
        <v>133</v>
      </c>
      <c r="B65" s="9">
        <v>7</v>
      </c>
      <c r="C65" s="8">
        <v>34240000.0</v>
      </c>
      <c r="D65" s="8">
        <v>132500000.0</v>
      </c>
      <c r="E65" s="8">
        <v>89300000.0</v>
      </c>
      <c r="F65" s="12"/>
    </row>
    <row r="66" spans="1:6">
      <c r="A66" t="s">
        <v>134</v>
      </c>
      <c r="B66" s="9">
        <v>8</v>
      </c>
      <c r="C66" s="8">
        <v>38560000.0</v>
      </c>
      <c r="D66" s="8">
        <v>145100000.0</v>
      </c>
      <c r="E66" s="8">
        <v>94700000.0</v>
      </c>
      <c r="F66" s="12"/>
    </row>
    <row r="67" spans="1:6">
      <c r="A67" t="s">
        <v>135</v>
      </c>
      <c r="B67" s="9">
        <v>9</v>
      </c>
      <c r="C67" s="8">
        <v>42880000.0</v>
      </c>
      <c r="D67" s="8">
        <v>157700000.0</v>
      </c>
      <c r="E67" s="8">
        <v>100100000.0</v>
      </c>
      <c r="F67" s="12"/>
    </row>
    <row r="68" spans="1:6">
      <c r="A68" t="s">
        <v>136</v>
      </c>
      <c r="B68" s="9">
        <v>10</v>
      </c>
      <c r="C68" s="8">
        <v>47200000.0</v>
      </c>
      <c r="D68" s="8">
        <v>170300000.0</v>
      </c>
      <c r="E68" s="8">
        <v>105500000.0</v>
      </c>
      <c r="F68" s="12"/>
    </row>
    <row r="70" spans="1:6" customHeight="1" ht="150">
      <c r="A70" s="42" t="s">
        <v>137</v>
      </c>
      <c r="B70" s="41"/>
      <c r="C70" s="41"/>
      <c r="D70" s="41"/>
      <c r="E70" s="41"/>
      <c r="F70" s="41"/>
    </row>
    <row r="72" spans="1:6" customHeight="1" ht="96">
      <c r="A72" s="52" t="s">
        <v>138</v>
      </c>
      <c r="B72" s="51"/>
      <c r="C72" s="51"/>
      <c r="D72" s="51"/>
      <c r="E72" s="51"/>
      <c r="F72" s="51"/>
    </row>
  </sheetData>
  <mergeCells>
    <mergeCell ref="A1:F1"/>
    <mergeCell ref="A2:F2"/>
    <mergeCell ref="A3:F3"/>
    <mergeCell ref="A4:F4"/>
    <mergeCell ref="A6:F6"/>
    <mergeCell ref="A11:F11"/>
    <mergeCell ref="A13:F13"/>
    <mergeCell ref="A19:F19"/>
    <mergeCell ref="A25:F25"/>
    <mergeCell ref="A26:F26"/>
    <mergeCell ref="A31:D31"/>
    <mergeCell ref="A37:D37"/>
    <mergeCell ref="A38:F38"/>
    <mergeCell ref="A41:F41"/>
    <mergeCell ref="A45:D45"/>
    <mergeCell ref="A46:F46"/>
    <mergeCell ref="A49:F49"/>
    <mergeCell ref="A54:D54"/>
    <mergeCell ref="A55:D55"/>
    <mergeCell ref="A57:F57"/>
    <mergeCell ref="A70:F70"/>
    <mergeCell ref="A72:F72"/>
  </mergeCells>
  <printOptions gridLines="false" gridLinesSet="true"/>
  <pageMargins left="0.7" right="0.7" top="0.75" bottom="0.75" header="0.3" footer="0.3"/>
  <pageSetup paperSize="1" orientation="landscape" scale="100" fitToHeight="0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1. Langganan (Server Mooda)</vt:lpstr>
      <vt:lpstr>2. Jual Putus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Mooda.ID</dc:creator>
  <cp:lastModifiedBy>Unknown Creator</cp:lastModifiedBy>
  <dcterms:created xsi:type="dcterms:W3CDTF">2026-08-04T16:45:41+07:00</dcterms:created>
  <dcterms:modified xsi:type="dcterms:W3CDTF">2026-08-04T16:45:41+07:00</dcterms:modified>
  <dc:title>RAB Mooda Stok — Aplikasi Inventori Ternak &amp; Perkebunan</dc:title>
  <dc:description>Dua skema: langganan di server Mooda, atau jual putus.</dc:description>
  <dc:subject>Rencana Anggaran Biaya</dc:subject>
  <cp:keywords/>
  <cp:category/>
</cp:coreProperties>
</file>